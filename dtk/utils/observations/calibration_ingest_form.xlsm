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dtk\utils\observations\"/>
    </mc:Choice>
  </mc:AlternateContent>
  <xr:revisionPtr revIDLastSave="0" documentId="10_ncr:100000_{005EE222-7ACF-4314-B40C-A98393B8081B}" xr6:coauthVersionLast="31" xr6:coauthVersionMax="31" xr10:uidLastSave="{00000000-0000-0000-0000-000000000000}"/>
  <bookViews>
    <workbookView xWindow="0" yWindow="0" windowWidth="15340" windowHeight="6450" firstSheet="1" activeTab="1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</sheets>
  <functionGroups builtInGroupCount="19"/>
  <definedNames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pop_scaling" localSheetId="4">'Observations metadata'!$A$10:$L$10</definedName>
    <definedName name="channels" localSheetId="5">Analyzers!$A$7:$A$16</definedName>
    <definedName name="custom_age_bins" localSheetId="5">Analyzers!$F$7:$F$16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use_existing_obs" localSheetId="0">General!$B$8</definedName>
    <definedName name="weights" localSheetId="5">Analyzers!$E$7:$E$16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<sst xmlns="http://schemas.openxmlformats.org/spreadsheetml/2006/main" count="269" uniqueCount="100">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</sst>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Fill="1" applyBorder="1"/>
    <xf numFmtId="0" fontId="2" fillId="0" borderId="6" xfId="0" applyFont="1" applyFill="1" applyBorder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64</v>
      </c>
      <c r="F1" s="9"/>
      <c r="G1" s="9">
        <v>0.3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0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2"/>
  <sheetViews>
    <sheetView tabSelected="1" workbookViewId="0">
      <selection activeCell="B7" sqref="B7"/>
    </sheetView>
  </sheetViews>
  <sheetFormatPr defaultRowHeight="14.5" x14ac:dyDescent="0.35"/>
  <cols>
    <col min="1" max="1" width="12.36328125" bestFit="1" customWidth="1"/>
    <col min="2" max="2" width="16.36328125" customWidth="1"/>
  </cols>
  <sheetData>
    <row r="1" spans="1:13" x14ac:dyDescent="0.35">
      <c r="A1" s="16" t="s">
        <v>90</v>
      </c>
    </row>
    <row r="2" spans="1:13" x14ac:dyDescent="0.35">
      <c r="A2" s="16" t="s">
        <v>92</v>
      </c>
    </row>
    <row r="3" spans="1:13" x14ac:dyDescent="0.35">
      <c r="A3" s="16" t="s">
        <v>94</v>
      </c>
    </row>
    <row r="4" spans="1:13" x14ac:dyDescent="0.35">
      <c r="A4" s="16" t="s">
        <v>91</v>
      </c>
    </row>
    <row r="5" spans="1:13" x14ac:dyDescent="0.35">
      <c r="A5" s="16" t="s">
        <v>99</v>
      </c>
    </row>
    <row r="6" spans="1:13" x14ac:dyDescent="0.35">
      <c r="A6" s="16"/>
    </row>
    <row r="7" spans="1:13" x14ac:dyDescent="0.35">
      <c r="A7" s="11" t="s">
        <v>93</v>
      </c>
      <c r="B7" s="5"/>
    </row>
    <row r="8" spans="1:13" x14ac:dyDescent="0.35">
      <c r="A8" s="9" t="s">
        <v>85</v>
      </c>
      <c r="B8" s="6"/>
    </row>
    <row r="9" spans="1:13" x14ac:dyDescent="0.35">
      <c r="A9" s="9" t="s">
        <v>86</v>
      </c>
      <c r="B9" s="7"/>
    </row>
    <row r="10" spans="1:13" x14ac:dyDescent="0.35">
      <c r="A10" s="9" t="s">
        <v>87</v>
      </c>
      <c r="B10" s="6"/>
    </row>
    <row r="11" spans="1:13" x14ac:dyDescent="0.35">
      <c r="A11" s="9" t="s">
        <v>88</v>
      </c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2" spans="1:13" x14ac:dyDescent="0.35">
      <c r="A12" s="9" t="s">
        <v>89</v>
      </c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/>
    </row>
    <row r="7" spans="1:7" x14ac:dyDescent="0.35">
      <c r="A7" s="4"/>
      <c r="B7" s="5" t="s">
        <v>12</v>
      </c>
      <c r="C7" s="4"/>
      <c r="D7" s="5"/>
      <c r="E7" s="4"/>
      <c r="F7" s="5"/>
      <c r="G7" s="16"/>
    </row>
    <row r="8" spans="1:7" x14ac:dyDescent="0.35">
      <c r="A8" s="4"/>
      <c r="B8" s="5" t="s">
        <v>12</v>
      </c>
      <c r="C8" s="4"/>
      <c r="D8" s="5"/>
      <c r="E8" s="4"/>
      <c r="F8" s="5"/>
      <c r="G8" s="16"/>
    </row>
    <row r="9" spans="1:7" x14ac:dyDescent="0.35">
      <c r="A9" s="4"/>
      <c r="B9" s="5" t="s">
        <v>12</v>
      </c>
      <c r="C9" s="4"/>
      <c r="D9" s="5"/>
      <c r="E9" s="4"/>
      <c r="F9" s="5"/>
      <c r="G9" s="17"/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2:D101">
    <cfRule type="expression" dxfId="10" priority="4">
      <formula>AND(OR(D2 &gt; E2, D2=none), A2 &lt;&gt; none)</formula>
    </cfRule>
  </conditionalFormatting>
  <conditionalFormatting sqref="E2:E101">
    <cfRule type="expression" dxfId="9" priority="2">
      <formula>AND(OR(E2 &lt; D2, E2=none), A2 &lt;&gt; none)</formula>
    </cfRule>
  </conditionalFormatting>
  <conditionalFormatting sqref="B2:B101">
    <cfRule type="expression" dxfId="8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4"/>
  <sheetViews>
    <sheetView workbookViewId="0">
      <selection activeCell="A8" sqref="A8"/>
    </sheetView>
  </sheetViews>
  <sheetFormatPr defaultRowHeight="14.5" x14ac:dyDescent="0.35"/>
  <cols>
    <col min="1" max="1" width="18.453125" customWidth="1"/>
    <col min="3" max="3" width="8.7265625" customWidth="1"/>
  </cols>
  <sheetData>
    <row r="1" spans="1:25" x14ac:dyDescent="0.35">
      <c r="A1" s="20" t="s">
        <v>52</v>
      </c>
    </row>
    <row r="2" spans="1:25" x14ac:dyDescent="0.35">
      <c r="A2" t="s">
        <v>59</v>
      </c>
      <c r="K2" s="16" t="s">
        <v>61</v>
      </c>
    </row>
    <row r="3" spans="1:25" x14ac:dyDescent="0.3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35">
      <c r="A4" t="s">
        <v>60</v>
      </c>
    </row>
    <row r="5" spans="1:25" x14ac:dyDescent="0.35">
      <c r="A5" t="s">
        <v>63</v>
      </c>
    </row>
    <row r="7" spans="1:25" x14ac:dyDescent="0.35">
      <c r="A7" s="13" t="s">
        <v>51</v>
      </c>
      <c r="C7" s="16"/>
    </row>
    <row r="8" spans="1:25" x14ac:dyDescent="0.35">
      <c r="A8" s="34"/>
      <c r="B8" s="35"/>
      <c r="C8" s="34"/>
      <c r="D8" s="36"/>
      <c r="E8" s="34"/>
      <c r="F8" s="36"/>
      <c r="G8" s="34"/>
      <c r="H8" s="36"/>
      <c r="I8" s="34"/>
      <c r="J8" s="36"/>
      <c r="K8" s="34"/>
      <c r="L8" s="3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35">
      <c r="A9" s="40" t="s">
        <v>98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37" t="s">
        <v>12</v>
      </c>
      <c r="B10" s="38" t="s">
        <v>12</v>
      </c>
      <c r="C10" s="37" t="s">
        <v>12</v>
      </c>
      <c r="D10" s="38" t="s">
        <v>12</v>
      </c>
      <c r="E10" s="37" t="s">
        <v>12</v>
      </c>
      <c r="F10" s="38" t="s">
        <v>12</v>
      </c>
      <c r="G10" s="37" t="s">
        <v>12</v>
      </c>
      <c r="H10" s="38" t="s">
        <v>12</v>
      </c>
      <c r="I10" s="37" t="s">
        <v>12</v>
      </c>
      <c r="J10" s="38" t="s">
        <v>12</v>
      </c>
      <c r="K10" s="37" t="s">
        <v>12</v>
      </c>
      <c r="L10" s="38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3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35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35">
      <c r="A13" s="2"/>
    </row>
    <row r="14" spans="1:25" x14ac:dyDescent="0.35">
      <c r="A14" t="s">
        <v>48</v>
      </c>
      <c r="B14" t="s">
        <v>49</v>
      </c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 x14ac:dyDescent="0.35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35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workbookViewId="0">
      <selection activeCell="A7" sqref="A7"/>
    </sheetView>
  </sheetViews>
  <sheetFormatPr defaultRowHeight="14.5" x14ac:dyDescent="0.35"/>
  <cols>
    <col min="1" max="1" width="14.453125" customWidth="1"/>
    <col min="2" max="2" width="10.7265625" customWidth="1"/>
    <col min="3" max="3" width="13.08984375" bestFit="1" customWidth="1"/>
    <col min="4" max="4" width="11.08984375" customWidth="1"/>
    <col min="5" max="5" width="22.453125" customWidth="1"/>
    <col min="6" max="6" width="14.36328125" customWidth="1"/>
    <col min="7" max="7" width="10.54296875" customWidth="1"/>
    <col min="8" max="8" width="13.1796875" customWidth="1"/>
    <col min="10" max="10" width="7.7265625" customWidth="1"/>
    <col min="11" max="11" width="22.453125" customWidth="1"/>
  </cols>
  <sheetData>
    <row r="1" spans="1:8" x14ac:dyDescent="0.35">
      <c r="A1" s="16" t="s">
        <v>52</v>
      </c>
    </row>
    <row r="2" spans="1:8" x14ac:dyDescent="0.35">
      <c r="A2" s="29" t="s">
        <v>83</v>
      </c>
    </row>
    <row r="3" spans="1:8" x14ac:dyDescent="0.35">
      <c r="A3" t="s">
        <v>75</v>
      </c>
      <c r="D3" s="16" t="s">
        <v>58</v>
      </c>
    </row>
    <row r="4" spans="1:8" x14ac:dyDescent="0.35">
      <c r="A4" t="s">
        <v>82</v>
      </c>
    </row>
    <row r="6" spans="1:8" x14ac:dyDescent="0.3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35">
      <c r="A7" s="33" t="s">
        <v>12</v>
      </c>
      <c r="B7" s="6" t="s">
        <v>12</v>
      </c>
      <c r="C7" s="6" t="s">
        <v>12</v>
      </c>
      <c r="D7" s="6" t="s">
        <v>12</v>
      </c>
      <c r="E7" s="6"/>
      <c r="F7" s="6"/>
    </row>
    <row r="8" spans="1:8" x14ac:dyDescent="0.35">
      <c r="A8" s="7" t="s">
        <v>12</v>
      </c>
      <c r="B8" s="7" t="s">
        <v>12</v>
      </c>
      <c r="C8" s="7" t="s">
        <v>12</v>
      </c>
      <c r="D8" s="7" t="s">
        <v>12</v>
      </c>
      <c r="E8" s="7"/>
      <c r="F8" s="7"/>
    </row>
    <row r="9" spans="1:8" x14ac:dyDescent="0.35">
      <c r="A9" s="6" t="s">
        <v>12</v>
      </c>
      <c r="B9" s="6" t="s">
        <v>12</v>
      </c>
      <c r="C9" s="6" t="s">
        <v>12</v>
      </c>
      <c r="D9" s="6" t="s">
        <v>12</v>
      </c>
      <c r="E9" s="6"/>
      <c r="F9" s="6"/>
    </row>
    <row r="10" spans="1:8" x14ac:dyDescent="0.35">
      <c r="A10" s="7" t="s">
        <v>12</v>
      </c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3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3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3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3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3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3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RowHeight="14.5" x14ac:dyDescent="0.35"/>
  <cols>
    <col min="1" max="1" width="15.54296875" bestFit="1" customWidth="1"/>
    <col min="2" max="2" width="18.1796875" bestFit="1" customWidth="1"/>
    <col min="3" max="3" width="8.08984375" bestFit="1" customWidth="1"/>
    <col min="4" max="4" width="14.54296875" bestFit="1" customWidth="1"/>
    <col min="5" max="5" width="5.08984375" bestFit="1" customWidth="1"/>
    <col min="6" max="6" width="19" bestFit="1" customWidth="1"/>
    <col min="7" max="7" width="13.08984375" bestFit="1" customWidth="1"/>
    <col min="8" max="8" width="20.6328125" bestFit="1" customWidth="1"/>
    <col min="10" max="10" width="11.26953125" customWidth="1"/>
    <col min="11" max="11" width="18.08984375" bestFit="1" customWidth="1"/>
  </cols>
  <sheetData>
    <row r="1" spans="1:11" s="3" customFormat="1" x14ac:dyDescent="0.35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35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 x14ac:dyDescent="0.35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/>
      </c>
      <c r="I3" s="32" t="s">
        <v>77</v>
      </c>
      <c r="K3" s="32" t="s">
        <v>95</v>
      </c>
    </row>
    <row r="4" spans="1:11" x14ac:dyDescent="0.35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/>
      </c>
      <c r="I4" s="32" t="s">
        <v>78</v>
      </c>
      <c r="K4" s="32" t="s">
        <v>96</v>
      </c>
    </row>
    <row r="5" spans="1:11" x14ac:dyDescent="0.35">
      <c r="B5" s="32" t="s">
        <v>16</v>
      </c>
      <c r="C5" s="32" t="s">
        <v>20</v>
      </c>
      <c r="D5" s="32" t="s">
        <v>45</v>
      </c>
      <c r="H5" s="32" t="str">
        <v/>
      </c>
    </row>
    <row r="6" spans="1:11" x14ac:dyDescent="0.35">
      <c r="H6" s="32" t="str">
        <v/>
      </c>
    </row>
    <row r="7" spans="1:11" x14ac:dyDescent="0.35">
      <c r="H7" s="32" t="str">
        <v/>
      </c>
    </row>
    <row r="8" spans="1:11" x14ac:dyDescent="0.35">
      <c r="H8" s="32" t="str">
        <v/>
      </c>
    </row>
    <row r="9" spans="1:11" x14ac:dyDescent="0.35">
      <c r="H9" s="32" t="str">
        <v/>
      </c>
    </row>
    <row r="10" spans="1:11" x14ac:dyDescent="0.35">
      <c r="H10" s="32" t="str">
        <v/>
      </c>
    </row>
    <row r="11" spans="1:11" x14ac:dyDescent="0.35">
      <c r="H11" s="32" t="str">
        <v/>
      </c>
    </row>
    <row r="12" spans="1:11" x14ac:dyDescent="0.35">
      <c r="H12" s="32" t="str">
        <v/>
      </c>
    </row>
    <row r="13" spans="1:11" x14ac:dyDescent="0.35">
      <c r="H13" s="32" t="str">
        <v/>
      </c>
    </row>
    <row r="14" spans="1:11" x14ac:dyDescent="0.35">
      <c r="H14" s="32" t="str">
        <v/>
      </c>
    </row>
    <row r="26" spans="2:2" x14ac:dyDescent="0.35">
      <c r="B2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38</vt:i4>
      </vt:variant>
    </vt:vector>
  </HeadingPairs>
  <TitlesOfParts>
    <vt:vector size="45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'Observations metadata'!channel_pop_scaling</vt:lpstr>
      <vt:lpstr>Analyzers!channels</vt:lpstr>
      <vt:lpstr>Analyzers!custom_age_bins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2018-11-16T17:37:19Z</dcterms:modified>
</cp:coreProperties>
</file>