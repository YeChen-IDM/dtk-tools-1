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dtk\utils\observations\"/>
    </mc:Choice>
  </mc:AlternateContent>
  <bookViews>
    <workbookView xWindow="0" yWindow="0" windowWidth="19160" windowHeight="6460"/>
  </bookViews>
  <sheets>
    <sheet name="General" sheetId="2" r:id="rId1"/>
    <sheet name="Model Parameters" sheetId="1" r:id="rId2"/>
    <sheet name="OptimTool parameters" sheetId="4" state="hidden" r:id="rId3"/>
    <sheet name="Analyzers" sheetId="7" r:id="rId4"/>
    <sheet name="Observations metadata" sheetId="6" r:id="rId5"/>
    <sheet name="Options" sheetId="3" state="hidden" r:id="rId6"/>
  </sheets>
  <functionGroups builtInGroupCount="18"/>
  <definedNames>
    <definedName name="analyzer_name_selection">Options!$F$2:$F$27</definedName>
    <definedName name="analyzer_names" localSheetId="3">Analyzers!$A$6:$A$26</definedName>
    <definedName name="analyzer_weights" localSheetId="3">Analyzers!$B$6:$B$26</definedName>
    <definedName name="boolean_selection">Options!$A$2:$A$4</definedName>
    <definedName name="calibration_methods">Options!$B$2:$B$5</definedName>
    <definedName name="diseases">Options!$C$2:$C$5</definedName>
    <definedName name="dynamic" localSheetId="1">'Model Parameters'!$B$2:$B$101</definedName>
    <definedName name="form_version" localSheetId="0">General!$G$1</definedName>
    <definedName name="gender_selection">Options!$D$2:$D$5</definedName>
    <definedName name="initial_value" localSheetId="1">'Model Parameters'!$C$2:$C$101</definedName>
    <definedName name="map_to" localSheetId="1">'Model Parameters'!$F$2:$F$101</definedName>
    <definedName name="max" localSheetId="1">'Model Parameters'!$E$2:$E$101</definedName>
    <definedName name="min" localSheetId="1">'Model Parameters'!$D$2:$D$101</definedName>
    <definedName name="n_center_repeats" localSheetId="2">'OptimTool parameters'!$B$3</definedName>
    <definedName name="n_replicates">General!$B$6</definedName>
    <definedName name="n_samples_per_iteration" localSheetId="2">'OptimTool parameters'!$B$4</definedName>
    <definedName name="name" localSheetId="1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metadata'!$A$8:$X$8</definedName>
    <definedName name="obs_metadata" localSheetId="4">'Observations metadata'!$A$13:$Y$32</definedName>
    <definedName name="use_existing_obs" localSheetId="0">General!$B$8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3" l="1"/>
  <c r="B12" i="2" l="1"/>
  <c r="B11" i="2"/>
  <c r="F3" i="4" l="1"/>
  <c r="F5" i="4" s="1"/>
  <c r="B13" i="2" s="1"/>
</calcChain>
</file>

<file path=xl/sharedStrings.xml><?xml version="1.0" encoding="utf-8"?>
<sst xmlns="http://schemas.openxmlformats.org/spreadsheetml/2006/main" count="211" uniqueCount="99">
  <si>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</si>
  <si>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</si>
  <si>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</si>
  <si>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</si>
  <si>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</si>
  <si>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</si>
  <si>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</si>
  <si>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</si>
  <si>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</si>
  <si>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</si>
  <si>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</si>
  <si>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</si>
  <si>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</si>
  <si>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</si>
  <si>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</si>
  <si>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</si>
  <si>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</si>
  <si>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</si>
  <si>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</si>
  <si>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</si>
  <si>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</si>
  <si>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</si>
  <si>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</si>
  <si>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</si>
  <si>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</si>
  <si>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</si>
  <si>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</si>
  <si>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</si>
  <si>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</si>
  <si>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</si>
  <si>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</si>
  <si>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</si>
  <si>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</si>
  <si>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</si>
  <si>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</si>
  <si>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</si>
  <si>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</si>
  <si>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</si>
  <si>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</si>
  <si>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</si>
  <si>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</si>
  <si>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</si>
  <si>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# It might be nice to create standard lists of names to provide drop down selection. Maybe many are 1-1 mapping to model params, so could be auto-map-to'd?</t>
  </si>
  <si>
    <t>gender selection</t>
  </si>
  <si>
    <t>Female</t>
  </si>
  <si>
    <t>Male</t>
  </si>
  <si>
    <t>Both</t>
  </si>
  <si>
    <t># could potentially import __KP parameters from existing templates and add them as selectable mapTo values?</t>
  </si>
  <si>
    <t># Not sure how the above two would play nicely with each other.</t>
  </si>
  <si>
    <t># what is the purpose of 'name'? Just a print name, e.g. in plots?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</si>
  <si>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</si>
  <si>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</si>
  <si>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</si>
  <si>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</si>
  <si>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</si>
  <si>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</si>
  <si>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</si>
  <si>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</si>
  <si>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</si>
  <si>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</si>
  <si>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</si>
  <si>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</si>
  <si>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weight</t>
  </si>
  <si>
    <t>analyzer name</t>
  </si>
  <si>
    <t>analyzer name is its python class name</t>
  </si>
  <si>
    <t>weight is a float between (0, 1]</t>
  </si>
  <si>
    <t>ARTCoverageAnalyzer</t>
  </si>
  <si>
    <t>BirthDeathRateAnalyzer</t>
  </si>
  <si>
    <t>CD4ProgressionAnalyzer</t>
  </si>
  <si>
    <t>CircumcisionAnalyzer</t>
  </si>
  <si>
    <t>DebutAgeAnalyzer</t>
  </si>
  <si>
    <t>DiagnosisAnalyzer</t>
  </si>
  <si>
    <t>IncidenceAnalyzer</t>
  </si>
  <si>
    <t>NationalAnalyzer</t>
  </si>
  <si>
    <t>NationalPrevalenceAnalyzer</t>
  </si>
  <si>
    <t>Pop1549Analyzer</t>
  </si>
  <si>
    <t>PopulationAnalyzer</t>
  </si>
  <si>
    <t>PostProcessAnalyzer</t>
  </si>
  <si>
    <t>PrognosisAnalyzer</t>
  </si>
  <si>
    <t>ProvincialANCAnalyzer</t>
  </si>
  <si>
    <t>ProvincialARTAnalyzer</t>
  </si>
  <si>
    <t>ProvincialPrevalenceAnalyzer</t>
  </si>
  <si>
    <t>RelationshipType</t>
  </si>
  <si>
    <t>RelationshipDurationAnalyzer</t>
  </si>
  <si>
    <t>RelStatsAnalyzer</t>
  </si>
  <si>
    <t>ReportHIVByAgeAndGenderAnalyzer</t>
  </si>
  <si>
    <t>RiskAnalyzer</t>
  </si>
  <si>
    <t>STIAnalyzer</t>
  </si>
  <si>
    <t>SuppressionByAgeGenderAnalyzer</t>
  </si>
  <si>
    <t>TagsAnalyzer</t>
  </si>
  <si>
    <t>WHOStageAnalyzer</t>
  </si>
  <si>
    <t>analyzer_name_selection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</si>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</sst>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4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0" fillId="3" borderId="3" xfId="0" applyFill="1" applyBorder="1"/>
  </cellXfs>
  <cellStyles count="1">
    <cellStyle name="Normal" xfId="0" builtinId="0"/>
  </cellStyles>
  <dxfs count="7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3"/>
  <sheetViews>
    <sheetView tabSelected="1" workbookViewId="0">
      <selection activeCell="B8" sqref="B8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23" t="s">
        <v>6</v>
      </c>
      <c r="B1" s="24"/>
      <c r="E1" s="9" t="s">
        <v>98</v>
      </c>
      <c r="F1" s="9"/>
      <c r="G1" s="9">
        <v>0.2</v>
      </c>
    </row>
    <row r="2" spans="1:8" x14ac:dyDescent="0.35">
      <c r="A2" s="25" t="s">
        <v>8</v>
      </c>
      <c r="B2" s="24" t="s">
        <v>12</v>
      </c>
      <c r="C2" s="14" t="s">
        <v>10</v>
      </c>
    </row>
    <row r="3" spans="1:8" x14ac:dyDescent="0.35">
      <c r="A3" s="25" t="s">
        <v>7</v>
      </c>
      <c r="B3" s="24" t="s">
        <v>12</v>
      </c>
    </row>
    <row r="4" spans="1:8" x14ac:dyDescent="0.35">
      <c r="A4" s="25" t="s">
        <v>9</v>
      </c>
      <c r="B4" s="24"/>
      <c r="C4" s="16" t="s">
        <v>40</v>
      </c>
    </row>
    <row r="5" spans="1:8" x14ac:dyDescent="0.35">
      <c r="A5" s="25" t="s">
        <v>25</v>
      </c>
      <c r="B5" s="24"/>
      <c r="C5" s="1" t="s">
        <v>27</v>
      </c>
    </row>
    <row r="6" spans="1:8" x14ac:dyDescent="0.35">
      <c r="A6" s="25" t="s">
        <v>26</v>
      </c>
      <c r="B6" s="24"/>
      <c r="C6" s="1" t="s">
        <v>27</v>
      </c>
    </row>
    <row r="8" spans="1:8" x14ac:dyDescent="0.35">
      <c r="A8" s="4" t="s">
        <v>51</v>
      </c>
      <c r="B8" s="7" t="b">
        <v>0</v>
      </c>
      <c r="D8" s="24" t="s">
        <v>57</v>
      </c>
      <c r="E8" s="25"/>
      <c r="F8" s="16" t="s">
        <v>61</v>
      </c>
      <c r="H8" s="16"/>
    </row>
    <row r="10" spans="1:8" x14ac:dyDescent="0.35">
      <c r="A10" s="15" t="s">
        <v>39</v>
      </c>
    </row>
    <row r="11" spans="1:8" x14ac:dyDescent="0.35">
      <c r="A11" s="3" t="s">
        <v>35</v>
      </c>
      <c r="B11" s="3">
        <f>COUNTIF('Model Parameters'!B2:B101, FALSE)</f>
        <v>0</v>
      </c>
      <c r="C11" s="14" t="s">
        <v>37</v>
      </c>
    </row>
    <row r="12" spans="1:8" x14ac:dyDescent="0.35">
      <c r="A12" s="3" t="s">
        <v>36</v>
      </c>
      <c r="B12" s="3">
        <f>COUNTIF('Model Parameters'!B2:B101, TRUE)</f>
        <v>0</v>
      </c>
    </row>
    <row r="13" spans="1:8" x14ac:dyDescent="0.3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6" priority="1">
      <formula>AND(use_existing_obs = TRUE, obs_asset_collection_id = none)</formula>
    </cfRule>
  </conditionalFormatting>
  <dataValidations count="4">
    <dataValidation type="list" allowBlank="1" showInputMessage="1" showErrorMessage="1" sqref="B2">
      <formula1>calibration_methods</formula1>
    </dataValidation>
    <dataValidation type="list" allowBlank="1" showInputMessage="1" showErrorMessage="1" sqref="B3">
      <formula1>diseases</formula1>
    </dataValidation>
    <dataValidation type="whole" operator="greaterThanOrEqual" allowBlank="1" showInputMessage="1" showErrorMessage="1" sqref="B5:B6">
      <formula1>1</formula1>
    </dataValidation>
    <dataValidation type="list" allowBlank="1" showInputMessage="1" showErrorMessage="1" sqref="B8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1"/>
  <sheetViews>
    <sheetView workbookViewId="0">
      <selection activeCell="A2" sqref="A2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35">
      <c r="A2" s="4"/>
      <c r="B2" s="5" t="s">
        <v>12</v>
      </c>
      <c r="C2" s="4"/>
      <c r="D2" s="5"/>
      <c r="E2" s="4"/>
      <c r="F2" s="5"/>
      <c r="G2" s="16"/>
    </row>
    <row r="3" spans="1:7" x14ac:dyDescent="0.35">
      <c r="A3" s="4"/>
      <c r="B3" s="5" t="s">
        <v>12</v>
      </c>
      <c r="C3" s="4"/>
      <c r="D3" s="5"/>
      <c r="E3" s="4"/>
      <c r="F3" s="5"/>
    </row>
    <row r="4" spans="1:7" x14ac:dyDescent="0.35">
      <c r="A4" s="4"/>
      <c r="B4" s="5" t="s">
        <v>12</v>
      </c>
      <c r="C4" s="4"/>
      <c r="D4" s="5"/>
      <c r="E4" s="4"/>
      <c r="F4" s="5"/>
    </row>
    <row r="5" spans="1:7" x14ac:dyDescent="0.35">
      <c r="A5" s="4"/>
      <c r="B5" s="5" t="s">
        <v>12</v>
      </c>
      <c r="C5" s="4"/>
      <c r="D5" s="5"/>
      <c r="E5" s="4"/>
      <c r="F5" s="5"/>
    </row>
    <row r="6" spans="1:7" x14ac:dyDescent="0.35">
      <c r="A6" s="4"/>
      <c r="B6" s="5" t="s">
        <v>12</v>
      </c>
      <c r="C6" s="4"/>
      <c r="D6" s="5"/>
      <c r="E6" s="4"/>
      <c r="F6" s="5"/>
      <c r="G6" s="16" t="s">
        <v>42</v>
      </c>
    </row>
    <row r="7" spans="1:7" x14ac:dyDescent="0.35">
      <c r="A7" s="4"/>
      <c r="B7" s="5" t="s">
        <v>12</v>
      </c>
      <c r="C7" s="4"/>
      <c r="D7" s="5"/>
      <c r="E7" s="4"/>
      <c r="F7" s="5"/>
      <c r="G7" s="16" t="s">
        <v>47</v>
      </c>
    </row>
    <row r="8" spans="1:7" x14ac:dyDescent="0.35">
      <c r="A8" s="4"/>
      <c r="B8" s="5" t="s">
        <v>12</v>
      </c>
      <c r="C8" s="4"/>
      <c r="D8" s="5"/>
      <c r="E8" s="4"/>
      <c r="F8" s="5"/>
      <c r="G8" s="16" t="s">
        <v>48</v>
      </c>
    </row>
    <row r="9" spans="1:7" x14ac:dyDescent="0.35">
      <c r="A9" s="4"/>
      <c r="B9" s="5" t="s">
        <v>12</v>
      </c>
      <c r="C9" s="4"/>
      <c r="D9" s="5"/>
      <c r="E9" s="4"/>
      <c r="F9" s="5"/>
      <c r="G9" s="17" t="s">
        <v>49</v>
      </c>
    </row>
    <row r="10" spans="1:7" x14ac:dyDescent="0.35">
      <c r="A10" s="4"/>
      <c r="B10" s="5" t="s">
        <v>12</v>
      </c>
      <c r="C10" s="22"/>
      <c r="D10" s="21"/>
      <c r="E10" s="4"/>
      <c r="F10" s="5"/>
    </row>
    <row r="11" spans="1:7" x14ac:dyDescent="0.35">
      <c r="A11" s="4"/>
      <c r="B11" s="5" t="s">
        <v>12</v>
      </c>
      <c r="C11" s="22"/>
      <c r="D11" s="21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5" priority="7">
      <formula>AND(OR(C2 &lt; D2, C2 &gt; E2, C2 = none), A2 &lt;&gt; none)</formula>
    </cfRule>
  </conditionalFormatting>
  <conditionalFormatting sqref="C7">
    <cfRule type="expression" dxfId="4" priority="6">
      <formula>AND(OR(C7 &lt; D7, C7 &gt; E7), A7 &lt;&gt; "")</formula>
    </cfRule>
  </conditionalFormatting>
  <conditionalFormatting sqref="D2:D101">
    <cfRule type="expression" dxfId="3" priority="4">
      <formula>AND(OR(D2 &gt; E2, D2=none), A2 &lt;&gt; none)</formula>
    </cfRule>
  </conditionalFormatting>
  <conditionalFormatting sqref="E2:E101">
    <cfRule type="expression" dxfId="2" priority="2">
      <formula>AND(OR(E2 &lt; D2, E2=none), A2 &lt;&gt; none)</formula>
    </cfRule>
  </conditionalFormatting>
  <conditionalFormatting sqref="B2:B101">
    <cfRule type="expression" dxfId="1" priority="1">
      <formula>AND(B2&lt;&gt;TRUE, B2&lt;&gt;FALSE, A2&lt;&gt;none)</formula>
    </cfRule>
  </conditionalFormatting>
  <dataValidations count="1">
    <dataValidation type="list" allowBlank="1" showInputMessage="1" showErrorMessage="1" sqref="B2:B101">
      <formula1>boolean_selection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1"/>
  <sheetViews>
    <sheetView workbookViewId="0">
      <selection activeCell="A7" sqref="A7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35">
      <c r="A2" s="25" t="s">
        <v>22</v>
      </c>
      <c r="B2" s="24"/>
      <c r="C2" t="s">
        <v>28</v>
      </c>
      <c r="F2" s="11" t="s">
        <v>31</v>
      </c>
    </row>
    <row r="3" spans="1:13" x14ac:dyDescent="0.3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35">
      <c r="A4" s="25" t="s">
        <v>24</v>
      </c>
      <c r="B4" s="24"/>
      <c r="C4" s="1" t="s">
        <v>27</v>
      </c>
      <c r="F4" s="11" t="s">
        <v>32</v>
      </c>
    </row>
    <row r="5" spans="1:13" x14ac:dyDescent="0.35">
      <c r="F5" s="11">
        <f>n_replicates*$F$3</f>
        <v>0</v>
      </c>
      <c r="G5" s="1" t="s">
        <v>34</v>
      </c>
      <c r="M5" s="14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8"/>
    </row>
  </sheetData>
  <dataValidations disablePrompts="1" count="1">
    <dataValidation type="whole" operator="greaterThanOrEqual" allowBlank="1" showInputMessage="1" showErrorMessage="1" sqref="B3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6"/>
  <sheetViews>
    <sheetView workbookViewId="0">
      <selection activeCell="A6" sqref="A6"/>
    </sheetView>
  </sheetViews>
  <sheetFormatPr defaultRowHeight="14.5" x14ac:dyDescent="0.35"/>
  <cols>
    <col min="1" max="1" width="33.54296875" bestFit="1" customWidth="1"/>
  </cols>
  <sheetData>
    <row r="1" spans="1:2" x14ac:dyDescent="0.35">
      <c r="A1" s="16" t="s">
        <v>56</v>
      </c>
    </row>
    <row r="2" spans="1:2" x14ac:dyDescent="0.35">
      <c r="A2" t="s">
        <v>64</v>
      </c>
    </row>
    <row r="3" spans="1:2" x14ac:dyDescent="0.35">
      <c r="A3" t="s">
        <v>65</v>
      </c>
      <c r="B3" s="16" t="s">
        <v>92</v>
      </c>
    </row>
    <row r="5" spans="1:2" x14ac:dyDescent="0.35">
      <c r="A5" s="9" t="s">
        <v>63</v>
      </c>
      <c r="B5" s="9" t="s">
        <v>62</v>
      </c>
    </row>
    <row r="6" spans="1:2" x14ac:dyDescent="0.35">
      <c r="A6" s="6" t="s">
        <v>60</v>
      </c>
      <c r="B6" s="6"/>
    </row>
    <row r="7" spans="1:2" x14ac:dyDescent="0.35">
      <c r="A7" s="7"/>
      <c r="B7" s="7"/>
    </row>
    <row r="8" spans="1:2" x14ac:dyDescent="0.35">
      <c r="A8" s="6"/>
      <c r="B8" s="6"/>
    </row>
    <row r="9" spans="1:2" x14ac:dyDescent="0.35">
      <c r="A9" s="7"/>
      <c r="B9" s="7"/>
    </row>
    <row r="10" spans="1:2" x14ac:dyDescent="0.35">
      <c r="A10" s="6"/>
      <c r="B10" s="6"/>
    </row>
    <row r="11" spans="1:2" x14ac:dyDescent="0.35">
      <c r="A11" s="7"/>
      <c r="B11" s="7"/>
    </row>
    <row r="12" spans="1:2" x14ac:dyDescent="0.35">
      <c r="A12" s="6"/>
      <c r="B12" s="6"/>
    </row>
    <row r="13" spans="1:2" x14ac:dyDescent="0.35">
      <c r="A13" s="7"/>
      <c r="B13" s="7"/>
    </row>
    <row r="14" spans="1:2" x14ac:dyDescent="0.35">
      <c r="A14" s="6"/>
      <c r="B14" s="6"/>
    </row>
    <row r="15" spans="1:2" x14ac:dyDescent="0.35">
      <c r="A15" s="7"/>
      <c r="B15" s="7"/>
    </row>
    <row r="16" spans="1:2" x14ac:dyDescent="0.35">
      <c r="A16" s="6"/>
      <c r="B16" s="6"/>
    </row>
    <row r="17" spans="1:2" x14ac:dyDescent="0.35">
      <c r="A17" s="7"/>
      <c r="B17" s="7"/>
    </row>
    <row r="18" spans="1:2" x14ac:dyDescent="0.35">
      <c r="A18" s="6"/>
      <c r="B18" s="6"/>
    </row>
    <row r="19" spans="1:2" x14ac:dyDescent="0.35">
      <c r="A19" s="7"/>
      <c r="B19" s="7"/>
    </row>
    <row r="20" spans="1:2" x14ac:dyDescent="0.35">
      <c r="A20" s="6"/>
      <c r="B20" s="6"/>
    </row>
    <row r="21" spans="1:2" x14ac:dyDescent="0.35">
      <c r="A21" s="7"/>
      <c r="B21" s="7"/>
    </row>
    <row r="22" spans="1:2" x14ac:dyDescent="0.35">
      <c r="A22" s="6"/>
      <c r="B22" s="6"/>
    </row>
    <row r="23" spans="1:2" x14ac:dyDescent="0.35">
      <c r="A23" s="7"/>
      <c r="B23" s="7"/>
    </row>
    <row r="24" spans="1:2" x14ac:dyDescent="0.35">
      <c r="A24" s="6"/>
      <c r="B24" s="6"/>
    </row>
    <row r="25" spans="1:2" x14ac:dyDescent="0.35">
      <c r="A25" s="7"/>
      <c r="B25" s="7"/>
    </row>
    <row r="26" spans="1:2" x14ac:dyDescent="0.35">
      <c r="A26" s="6"/>
      <c r="B26" s="6"/>
    </row>
  </sheetData>
  <conditionalFormatting sqref="B6:B26">
    <cfRule type="expression" dxfId="0" priority="1">
      <formula>AND(OR(B6 &lt;= 0, B6 &gt; 1, B6 = none), A6 &lt;&gt; none)</formula>
    </cfRule>
  </conditionalFormatting>
  <dataValidations count="1">
    <dataValidation type="list" showInputMessage="1" showErrorMessage="1" sqref="A6:A26">
      <formula1>analyzer_name_selection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32"/>
  <sheetViews>
    <sheetView workbookViewId="0">
      <selection activeCell="A8" sqref="A8"/>
    </sheetView>
  </sheetViews>
  <sheetFormatPr defaultRowHeight="14.5" x14ac:dyDescent="0.35"/>
  <cols>
    <col min="1" max="1" width="18.453125" customWidth="1"/>
  </cols>
  <sheetData>
    <row r="1" spans="1:25" x14ac:dyDescent="0.35">
      <c r="A1" s="20" t="s">
        <v>56</v>
      </c>
    </row>
    <row r="2" spans="1:25" x14ac:dyDescent="0.35">
      <c r="A2" t="s">
        <v>93</v>
      </c>
      <c r="K2" s="16" t="s">
        <v>95</v>
      </c>
    </row>
    <row r="3" spans="1:25" x14ac:dyDescent="0.35">
      <c r="A3" s="28" t="s">
        <v>54</v>
      </c>
      <c r="B3" s="28"/>
      <c r="C3" s="28"/>
      <c r="D3" s="28"/>
      <c r="E3" s="28"/>
      <c r="F3" s="28"/>
      <c r="G3" s="28"/>
      <c r="K3" s="16" t="s">
        <v>96</v>
      </c>
    </row>
    <row r="4" spans="1:25" x14ac:dyDescent="0.35">
      <c r="A4" t="s">
        <v>94</v>
      </c>
    </row>
    <row r="5" spans="1:25" x14ac:dyDescent="0.35">
      <c r="A5" t="s">
        <v>97</v>
      </c>
    </row>
    <row r="7" spans="1:25" x14ac:dyDescent="0.35">
      <c r="A7" s="13" t="s">
        <v>55</v>
      </c>
      <c r="C7" s="16"/>
    </row>
    <row r="8" spans="1:25" x14ac:dyDescent="0.35">
      <c r="A8" s="6"/>
      <c r="B8" s="29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</row>
    <row r="9" spans="1:25" x14ac:dyDescent="0.3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35">
      <c r="A10" s="19" t="s">
        <v>50</v>
      </c>
      <c r="B10" s="18"/>
      <c r="C10" s="19" t="s">
        <v>59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</row>
    <row r="11" spans="1:25" x14ac:dyDescent="0.35">
      <c r="A11" s="2"/>
    </row>
    <row r="12" spans="1:25" x14ac:dyDescent="0.35">
      <c r="A12" t="s">
        <v>52</v>
      </c>
      <c r="B12" t="s">
        <v>53</v>
      </c>
    </row>
    <row r="13" spans="1:25" x14ac:dyDescent="0.35">
      <c r="A13" s="26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</row>
    <row r="14" spans="1:25" x14ac:dyDescent="0.35">
      <c r="A14" s="26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</row>
    <row r="15" spans="1:25" x14ac:dyDescent="0.3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3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3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3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3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3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3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3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3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3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3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3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3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3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3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3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3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3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27"/>
  <sheetViews>
    <sheetView workbookViewId="0">
      <selection activeCell="D8" sqref="D8"/>
    </sheetView>
  </sheetViews>
  <sheetFormatPr defaultRowHeight="14.5" x14ac:dyDescent="0.35"/>
  <cols>
    <col min="1" max="1" width="15.54296875" bestFit="1" customWidth="1"/>
    <col min="2" max="2" width="18.1796875" bestFit="1" customWidth="1"/>
    <col min="4" max="4" width="14.54296875" bestFit="1" customWidth="1"/>
    <col min="6" max="6" width="31.6328125" bestFit="1" customWidth="1"/>
  </cols>
  <sheetData>
    <row r="1" spans="1:6" x14ac:dyDescent="0.35">
      <c r="A1" t="s">
        <v>11</v>
      </c>
      <c r="B1" s="1" t="s">
        <v>13</v>
      </c>
      <c r="C1" t="s">
        <v>17</v>
      </c>
      <c r="D1" t="s">
        <v>43</v>
      </c>
      <c r="E1" t="s">
        <v>58</v>
      </c>
      <c r="F1" t="s">
        <v>91</v>
      </c>
    </row>
    <row r="2" spans="1:6" x14ac:dyDescent="0.35">
      <c r="A2" s="1" t="s">
        <v>12</v>
      </c>
      <c r="B2" s="1" t="s">
        <v>12</v>
      </c>
      <c r="C2" s="1" t="s">
        <v>12</v>
      </c>
      <c r="D2" s="1" t="s">
        <v>12</v>
      </c>
      <c r="E2" s="1" t="s">
        <v>60</v>
      </c>
      <c r="F2" s="1" t="str">
        <f>none</f>
        <v/>
      </c>
    </row>
    <row r="3" spans="1:6" x14ac:dyDescent="0.35">
      <c r="A3" t="b">
        <v>1</v>
      </c>
      <c r="B3" t="s">
        <v>14</v>
      </c>
      <c r="C3" t="s">
        <v>18</v>
      </c>
      <c r="D3" t="s">
        <v>44</v>
      </c>
      <c r="F3" t="s">
        <v>66</v>
      </c>
    </row>
    <row r="4" spans="1:6" x14ac:dyDescent="0.35">
      <c r="A4" t="b">
        <v>0</v>
      </c>
      <c r="B4" t="s">
        <v>15</v>
      </c>
      <c r="C4" t="s">
        <v>19</v>
      </c>
      <c r="D4" t="s">
        <v>45</v>
      </c>
      <c r="F4" t="s">
        <v>67</v>
      </c>
    </row>
    <row r="5" spans="1:6" x14ac:dyDescent="0.35">
      <c r="B5" t="s">
        <v>16</v>
      </c>
      <c r="C5" t="s">
        <v>20</v>
      </c>
      <c r="D5" t="s">
        <v>46</v>
      </c>
      <c r="F5" t="s">
        <v>68</v>
      </c>
    </row>
    <row r="6" spans="1:6" x14ac:dyDescent="0.35">
      <c r="F6" t="s">
        <v>69</v>
      </c>
    </row>
    <row r="7" spans="1:6" x14ac:dyDescent="0.35">
      <c r="F7" t="s">
        <v>70</v>
      </c>
    </row>
    <row r="8" spans="1:6" x14ac:dyDescent="0.35">
      <c r="F8" t="s">
        <v>71</v>
      </c>
    </row>
    <row r="9" spans="1:6" x14ac:dyDescent="0.35">
      <c r="F9" t="s">
        <v>72</v>
      </c>
    </row>
    <row r="10" spans="1:6" x14ac:dyDescent="0.35">
      <c r="F10" t="s">
        <v>73</v>
      </c>
    </row>
    <row r="11" spans="1:6" x14ac:dyDescent="0.35">
      <c r="F11" t="s">
        <v>74</v>
      </c>
    </row>
    <row r="12" spans="1:6" x14ac:dyDescent="0.35">
      <c r="F12" t="s">
        <v>75</v>
      </c>
    </row>
    <row r="13" spans="1:6" x14ac:dyDescent="0.35">
      <c r="F13" t="s">
        <v>76</v>
      </c>
    </row>
    <row r="14" spans="1:6" x14ac:dyDescent="0.35">
      <c r="F14" t="s">
        <v>77</v>
      </c>
    </row>
    <row r="15" spans="1:6" x14ac:dyDescent="0.35">
      <c r="F15" t="s">
        <v>78</v>
      </c>
    </row>
    <row r="16" spans="1:6" x14ac:dyDescent="0.35">
      <c r="F16" t="s">
        <v>79</v>
      </c>
    </row>
    <row r="17" spans="6:6" x14ac:dyDescent="0.35">
      <c r="F17" t="s">
        <v>80</v>
      </c>
    </row>
    <row r="18" spans="6:6" x14ac:dyDescent="0.35">
      <c r="F18" t="s">
        <v>81</v>
      </c>
    </row>
    <row r="19" spans="6:6" x14ac:dyDescent="0.35">
      <c r="F19" t="s">
        <v>82</v>
      </c>
    </row>
    <row r="20" spans="6:6" x14ac:dyDescent="0.35">
      <c r="F20" t="s">
        <v>83</v>
      </c>
    </row>
    <row r="21" spans="6:6" x14ac:dyDescent="0.35">
      <c r="F21" t="s">
        <v>84</v>
      </c>
    </row>
    <row r="22" spans="6:6" x14ac:dyDescent="0.35">
      <c r="F22" t="s">
        <v>85</v>
      </c>
    </row>
    <row r="23" spans="6:6" x14ac:dyDescent="0.35">
      <c r="F23" t="s">
        <v>86</v>
      </c>
    </row>
    <row r="24" spans="6:6" x14ac:dyDescent="0.35">
      <c r="F24" t="s">
        <v>87</v>
      </c>
    </row>
    <row r="25" spans="6:6" x14ac:dyDescent="0.35">
      <c r="F25" t="s">
        <v>88</v>
      </c>
    </row>
    <row r="26" spans="6:6" x14ac:dyDescent="0.35">
      <c r="F26" t="s">
        <v>89</v>
      </c>
    </row>
    <row r="27" spans="6:6" x14ac:dyDescent="0.35">
      <c r="F27" t="s">
        <v>90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22</vt:i4>
      </vt:variant>
    </vt:vector>
  </HeadingPairs>
  <TitlesOfParts>
    <vt:vector size="28" baseType="lpstr">
      <vt:lpstr>General</vt:lpstr>
      <vt:lpstr>Model Parameters</vt:lpstr>
      <vt:lpstr>OptimTool parameters</vt:lpstr>
      <vt:lpstr>Analyzers</vt:lpstr>
      <vt:lpstr>Observations metadata</vt:lpstr>
      <vt:lpstr>Options</vt:lpstr>
      <vt:lpstr>analyzer_name_selection</vt:lpstr>
      <vt:lpstr>Analyzers!analyzer_names</vt:lpstr>
      <vt:lpstr>Analyzers!analyzer_weights</vt:lpstr>
      <vt:lpstr>boolean_selection</vt:lpstr>
      <vt:lpstr>calibration_methods</vt:lpstr>
      <vt:lpstr>diseases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General!use_existing_obs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2018-03-29T22:02:04Z</dcterms:modified>
</cp:coreProperties>
</file>