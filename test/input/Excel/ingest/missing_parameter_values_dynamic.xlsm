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bookViews>
    <workbookView xWindow="0" yWindow="0" windowWidth="19160" windowHeight="6460" activeTab="1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metadata'!$A$11:$X$11</definedName>
    <definedName name="obs_metadata" localSheetId="4">'Observations metadata'!$A$16:$Y$35</definedName>
    <definedName name="obs_stratifiers" localSheetId="4">'Observations metadata'!$A$8:$L$8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<sst xmlns="http://schemas.openxmlformats.org/spreadsheetml/2006/main" count="210" uniqueCount="99">
  <si>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</si>
  <si>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</si>
  <si>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</si>
  <si>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</si>
  <si>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</si>
  <si>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</si>
  <si>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</si>
  <si>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</si>
  <si>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</si>
  <si>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</si>
  <si>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</si>
  <si>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</si>
  <si>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</si>
  <si>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</si>
  <si>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</si>
  <si>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</si>
  <si>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</si>
  <si>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</si>
  <si>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</si>
  <si>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</si>
  <si>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</si>
  <si>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</si>
  <si>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</si>
  <si>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</si>
  <si>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</si>
  <si>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</si>
  <si>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</si>
  <si>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</si>
  <si>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</si>
  <si>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</si>
  <si>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</si>
  <si>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</si>
  <si>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</si>
  <si>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</si>
  <si>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</si>
  <si>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</si>
  <si>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</si>
  <si>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</si>
  <si>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</si>
  <si>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</si>
  <si>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</si>
  <si>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</si>
  <si>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</si>
  <si>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</si>
  <si>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</si>
  <si>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</si>
  <si>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</si>
  <si>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</si>
  <si>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</si>
  <si>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</si>
  <si>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</si>
  <si>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All data must use the same set of stratifiers</t>
  </si>
  <si>
    <t>Use existing observations?</t>
  </si>
  <si>
    <t>Key</t>
  </si>
  <si>
    <t>Value(s)</t>
  </si>
  <si>
    <t>All metadata key/values will be included as a CSV header to all observations</t>
  </si>
  <si>
    <t>Stratifiers</t>
  </si>
  <si>
    <t>Data Channels</t>
  </si>
  <si>
    <t>Notes:</t>
  </si>
  <si>
    <t>When this page is complete, click the "Regenerate obs sheets" button.</t>
  </si>
  <si>
    <t>If TRUE, asset collection id:</t>
  </si>
  <si>
    <t>One 'Observations' sheet will be provided per data channel</t>
  </si>
  <si>
    <t>none</t>
  </si>
  <si>
    <t># not currently used</t>
  </si>
  <si>
    <t/>
  </si>
  <si>
    <t># it would be great to store observations in a retrievable location. AssetManager is one current option.</t>
  </si>
  <si>
    <t>Warning: all existing "Observations-CHANNEL" sheets will be deleted and then recreated.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</si>
  <si>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</si>
  <si>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</si>
  <si>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</si>
  <si>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</si>
  <si>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</si>
  <si>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</si>
  <si>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</si>
  <si>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</si>
  <si>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</si>
  <si>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</si>
  <si>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</si>
  <si>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</si>
  <si>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</si>
  <si>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</si>
  <si>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</si>
  <si>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</si>
  <si>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</si>
  <si>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</si>
  <si>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</si>
  <si>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</si>
  <si>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</si>
  <si>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</si>
  <si>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</si>
  <si>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</si>
  <si>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</si>
  <si>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</si>
  <si>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</si>
  <si>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</si>
  <si>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</si>
  <si>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</si>
  <si>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p1</t>
  </si>
  <si>
    <t>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</si>
</sst>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3" borderId="2" xfId="0" applyFill="1" applyBorder="1" applyAlignment="1">
      <alignment wrapText="1"/>
    </xf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5" borderId="2" xfId="0" applyFill="1" applyBorder="1"/>
    <xf numFmtId="0" fontId="0" fillId="0" borderId="1" xfId="0" applyBorder="1"/>
    <xf numFmtId="0" fontId="0" fillId="2" borderId="3" xfId="0" applyFill="1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0</xdr:row>
          <xdr:rowOff>139700</xdr:rowOff>
        </xdr:from>
        <xdr:to>
          <xdr:col>11</xdr:col>
          <xdr:colOff>533400</xdr:colOff>
          <xdr:row>3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Regenerate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8" t="s">
        <v>6</v>
      </c>
      <c r="B1" s="7"/>
    </row>
    <row r="2" spans="1:8" x14ac:dyDescent="0.35">
      <c r="A2" s="6" t="s">
        <v>8</v>
      </c>
      <c r="B2" s="7" t="s">
        <v>12</v>
      </c>
      <c r="C2" s="15" t="s">
        <v>10</v>
      </c>
    </row>
    <row r="3" spans="1:8" x14ac:dyDescent="0.35">
      <c r="A3" s="6" t="s">
        <v>7</v>
      </c>
      <c r="B3" s="7" t="s">
        <v>12</v>
      </c>
    </row>
    <row r="4" spans="1:8" x14ac:dyDescent="0.35">
      <c r="A4" s="6" t="s">
        <v>9</v>
      </c>
      <c r="B4" s="7"/>
      <c r="C4" s="17" t="s">
        <v>40</v>
      </c>
    </row>
    <row r="5" spans="1:8" x14ac:dyDescent="0.35">
      <c r="A5" s="6" t="s">
        <v>25</v>
      </c>
      <c r="B5" s="7"/>
      <c r="C5" s="1" t="s">
        <v>27</v>
      </c>
    </row>
    <row r="6" spans="1:8" x14ac:dyDescent="0.35">
      <c r="A6" s="6" t="s">
        <v>26</v>
      </c>
      <c r="B6" s="7"/>
      <c r="C6" s="1" t="s">
        <v>27</v>
      </c>
    </row>
    <row r="8" spans="1:8" x14ac:dyDescent="0.35">
      <c r="A8" s="4" t="s">
        <v>52</v>
      </c>
      <c r="B8" s="7" t="b">
        <v>0</v>
      </c>
      <c r="D8" s="7" t="s">
        <v>60</v>
      </c>
      <c r="E8" s="6"/>
      <c r="F8" s="17" t="s">
        <v>65</v>
      </c>
      <c r="H8" s="17"/>
    </row>
    <row r="10" spans="1:8" x14ac:dyDescent="0.35">
      <c r="A10" s="16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5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5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tabSelected="1" workbookViewId="0">
      <selection activeCell="F4" sqref="F4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10" t="s">
        <v>0</v>
      </c>
      <c r="B1" s="10" t="s">
        <v>4</v>
      </c>
      <c r="C1" s="10" t="s">
        <v>3</v>
      </c>
      <c r="D1" s="10" t="s">
        <v>1</v>
      </c>
      <c r="E1" s="10" t="s">
        <v>2</v>
      </c>
      <c r="F1" s="10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7"/>
    </row>
    <row r="3" spans="1:7" x14ac:dyDescent="0.35">
      <c r="A3" s="4" t="s">
        <v>97</v>
      </c>
      <c r="B3" s="5" t="b">
        <v>1</v>
      </c>
      <c r="C3" s="4">
        <v>0.1</v>
      </c>
      <c r="D3" s="5">
        <v>0</v>
      </c>
      <c r="E3" s="4">
        <v>1</v>
      </c>
      <c r="F3" s="5"/>
    </row>
    <row r="4" spans="1:7" x14ac:dyDescent="0.35">
      <c r="A4" s="4" t="s">
        <v>98</v>
      </c>
      <c r="B4" s="5" t="s">
        <v>12</v>
      </c>
      <c r="C4" s="4">
        <v>10</v>
      </c>
      <c r="D4" s="5">
        <v>5</v>
      </c>
      <c r="E4" s="4">
        <v>20</v>
      </c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7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7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7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8" t="s">
        <v>49</v>
      </c>
    </row>
    <row r="10" spans="1:7" x14ac:dyDescent="0.35">
      <c r="A10" s="4"/>
      <c r="B10" s="5" t="s">
        <v>12</v>
      </c>
      <c r="C10" s="25"/>
      <c r="D10" s="24"/>
      <c r="E10" s="4"/>
      <c r="F10" s="5"/>
    </row>
    <row r="11" spans="1:7" x14ac:dyDescent="0.35">
      <c r="A11" s="4"/>
      <c r="B11" s="5" t="s">
        <v>12</v>
      </c>
      <c r="C11" s="25"/>
      <c r="D11" s="24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B1" sqref="B1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6" t="s">
        <v>21</v>
      </c>
      <c r="B1" s="7"/>
      <c r="C1" t="s">
        <v>28</v>
      </c>
      <c r="F1" s="11" t="s">
        <v>30</v>
      </c>
      <c r="G1" s="2"/>
    </row>
    <row r="2" spans="1:13" x14ac:dyDescent="0.35">
      <c r="A2" s="6" t="s">
        <v>22</v>
      </c>
      <c r="B2" s="7"/>
      <c r="C2" t="s">
        <v>28</v>
      </c>
      <c r="F2" s="12" t="s">
        <v>31</v>
      </c>
    </row>
    <row r="3" spans="1:13" x14ac:dyDescent="0.35">
      <c r="A3" s="6" t="s">
        <v>23</v>
      </c>
      <c r="B3" s="7"/>
      <c r="C3" s="1" t="s">
        <v>27</v>
      </c>
      <c r="F3" s="12">
        <f>n_samples_per_iteration-n_center_repeats</f>
        <v>0</v>
      </c>
      <c r="G3" s="1" t="s">
        <v>33</v>
      </c>
    </row>
    <row r="4" spans="1:13" x14ac:dyDescent="0.35">
      <c r="A4" s="6" t="s">
        <v>24</v>
      </c>
      <c r="B4" s="7"/>
      <c r="C4" s="1" t="s">
        <v>27</v>
      </c>
      <c r="F4" s="12" t="s">
        <v>32</v>
      </c>
    </row>
    <row r="5" spans="1:13" x14ac:dyDescent="0.35">
      <c r="F5" s="12">
        <f>n_replicates*$F$3</f>
        <v>0</v>
      </c>
      <c r="G5" s="1" t="s">
        <v>34</v>
      </c>
      <c r="M5" s="15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4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9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A6" sqref="A6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7" t="s">
        <v>58</v>
      </c>
    </row>
    <row r="2" spans="1:2" x14ac:dyDescent="0.35">
      <c r="A2" t="s">
        <v>69</v>
      </c>
    </row>
    <row r="3" spans="1:2" x14ac:dyDescent="0.35">
      <c r="A3" t="s">
        <v>70</v>
      </c>
    </row>
    <row r="5" spans="1:2" x14ac:dyDescent="0.35">
      <c r="A5" s="10" t="s">
        <v>68</v>
      </c>
      <c r="B5" s="10" t="s">
        <v>67</v>
      </c>
    </row>
    <row r="6" spans="1:2" x14ac:dyDescent="0.35">
      <c r="A6" s="6" t="s">
        <v>64</v>
      </c>
      <c r="B6" s="6"/>
    </row>
    <row r="7" spans="1:2" x14ac:dyDescent="0.35">
      <c r="A7" s="7"/>
      <c r="B7" s="7"/>
    </row>
    <row r="8" spans="1:2" x14ac:dyDescent="0.35">
      <c r="A8" s="6"/>
      <c r="B8" s="6"/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5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3" t="s">
        <v>58</v>
      </c>
    </row>
    <row r="2" spans="1:25" x14ac:dyDescent="0.35">
      <c r="A2" t="s">
        <v>51</v>
      </c>
    </row>
    <row r="3" spans="1:25" x14ac:dyDescent="0.35">
      <c r="A3" t="s">
        <v>61</v>
      </c>
    </row>
    <row r="4" spans="1:25" x14ac:dyDescent="0.35">
      <c r="A4" t="s">
        <v>55</v>
      </c>
    </row>
    <row r="5" spans="1:25" x14ac:dyDescent="0.35">
      <c r="A5" t="s">
        <v>59</v>
      </c>
      <c r="H5" s="17" t="s">
        <v>66</v>
      </c>
    </row>
    <row r="7" spans="1:25" x14ac:dyDescent="0.35">
      <c r="A7" s="14" t="s">
        <v>56</v>
      </c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</row>
    <row r="8" spans="1:25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13"/>
    </row>
    <row r="9" spans="1:25" x14ac:dyDescent="0.35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1:25" x14ac:dyDescent="0.35">
      <c r="A10" s="14" t="s">
        <v>57</v>
      </c>
    </row>
    <row r="11" spans="1:25" x14ac:dyDescent="0.35">
      <c r="A11" s="7"/>
      <c r="B11" s="21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5" x14ac:dyDescent="0.3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</row>
    <row r="13" spans="1:25" x14ac:dyDescent="0.35">
      <c r="A13" s="22" t="s">
        <v>50</v>
      </c>
      <c r="B13" s="20"/>
      <c r="C13" s="22" t="s">
        <v>63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</row>
    <row r="14" spans="1:25" x14ac:dyDescent="0.35">
      <c r="A14" s="2"/>
    </row>
    <row r="15" spans="1:25" x14ac:dyDescent="0.35">
      <c r="A15" t="s">
        <v>53</v>
      </c>
      <c r="B15" t="s">
        <v>54</v>
      </c>
    </row>
    <row r="16" spans="1:25" x14ac:dyDescent="0.35">
      <c r="A16" s="19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</row>
    <row r="17" spans="1:25" x14ac:dyDescent="0.35">
      <c r="A17" s="19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</row>
    <row r="18" spans="1:25" x14ac:dyDescent="0.35">
      <c r="A18" s="19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  <row r="19" spans="1:25" x14ac:dyDescent="0.35">
      <c r="A19" s="19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</row>
    <row r="20" spans="1:25" x14ac:dyDescent="0.35">
      <c r="A20" s="19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</row>
    <row r="21" spans="1:25" x14ac:dyDescent="0.35">
      <c r="A21" s="19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</row>
    <row r="22" spans="1:25" x14ac:dyDescent="0.35">
      <c r="A22" s="19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</row>
    <row r="23" spans="1:25" x14ac:dyDescent="0.35">
      <c r="A23" s="19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</row>
    <row r="24" spans="1:25" x14ac:dyDescent="0.35">
      <c r="A24" s="19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</row>
    <row r="25" spans="1:25" x14ac:dyDescent="0.35">
      <c r="A25" s="19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</row>
    <row r="26" spans="1:25" x14ac:dyDescent="0.35">
      <c r="A26" s="19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</row>
    <row r="27" spans="1:25" x14ac:dyDescent="0.35">
      <c r="A27" s="19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</row>
    <row r="28" spans="1:25" x14ac:dyDescent="0.35">
      <c r="A28" s="19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</row>
    <row r="29" spans="1:25" x14ac:dyDescent="0.35">
      <c r="A29" s="19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</row>
    <row r="30" spans="1:25" x14ac:dyDescent="0.35">
      <c r="A30" s="19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</row>
    <row r="31" spans="1:25" x14ac:dyDescent="0.35">
      <c r="A31" s="19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</row>
    <row r="32" spans="1:25" x14ac:dyDescent="0.35">
      <c r="A32" s="19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</row>
    <row r="33" spans="1:25" x14ac:dyDescent="0.35">
      <c r="A33" s="19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</row>
    <row r="34" spans="1:25" x14ac:dyDescent="0.35">
      <c r="A34" s="19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</row>
    <row r="35" spans="1:25" x14ac:dyDescent="0.35">
      <c r="A35" s="19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10</xdr:col>
                    <xdr:colOff>6350</xdr:colOff>
                    <xdr:row>0</xdr:row>
                    <xdr:rowOff>139700</xdr:rowOff>
                  </from>
                  <to>
                    <xdr:col>11</xdr:col>
                    <xdr:colOff>533400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62</v>
      </c>
      <c r="F1" t="s">
        <v>96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64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71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72</v>
      </c>
    </row>
    <row r="5" spans="1:6" x14ac:dyDescent="0.35">
      <c r="B5" t="s">
        <v>16</v>
      </c>
      <c r="C5" t="s">
        <v>20</v>
      </c>
      <c r="D5" t="s">
        <v>46</v>
      </c>
      <c r="F5" t="s">
        <v>73</v>
      </c>
    </row>
    <row r="6" spans="1:6" x14ac:dyDescent="0.35">
      <c r="F6" t="s">
        <v>74</v>
      </c>
    </row>
    <row r="7" spans="1:6" x14ac:dyDescent="0.35">
      <c r="F7" t="s">
        <v>75</v>
      </c>
    </row>
    <row r="8" spans="1:6" x14ac:dyDescent="0.35">
      <c r="F8" t="s">
        <v>76</v>
      </c>
    </row>
    <row r="9" spans="1:6" x14ac:dyDescent="0.35">
      <c r="F9" t="s">
        <v>77</v>
      </c>
    </row>
    <row r="10" spans="1:6" x14ac:dyDescent="0.35">
      <c r="F10" t="s">
        <v>78</v>
      </c>
    </row>
    <row r="11" spans="1:6" x14ac:dyDescent="0.35">
      <c r="F11" t="s">
        <v>79</v>
      </c>
    </row>
    <row r="12" spans="1:6" x14ac:dyDescent="0.35">
      <c r="F12" t="s">
        <v>80</v>
      </c>
    </row>
    <row r="13" spans="1:6" x14ac:dyDescent="0.35">
      <c r="F13" t="s">
        <v>81</v>
      </c>
    </row>
    <row r="14" spans="1:6" x14ac:dyDescent="0.35">
      <c r="F14" t="s">
        <v>82</v>
      </c>
    </row>
    <row r="15" spans="1:6" x14ac:dyDescent="0.35">
      <c r="F15" t="s">
        <v>83</v>
      </c>
    </row>
    <row r="16" spans="1:6" x14ac:dyDescent="0.35">
      <c r="F16" t="s">
        <v>84</v>
      </c>
    </row>
    <row r="17" spans="6:6" x14ac:dyDescent="0.35">
      <c r="F17" t="s">
        <v>85</v>
      </c>
    </row>
    <row r="18" spans="6:6" x14ac:dyDescent="0.35">
      <c r="F18" t="s">
        <v>86</v>
      </c>
    </row>
    <row r="19" spans="6:6" x14ac:dyDescent="0.35">
      <c r="F19" t="s">
        <v>87</v>
      </c>
    </row>
    <row r="20" spans="6:6" x14ac:dyDescent="0.35">
      <c r="F20" t="s">
        <v>88</v>
      </c>
    </row>
    <row r="21" spans="6:6" x14ac:dyDescent="0.35">
      <c r="F21" t="s">
        <v>89</v>
      </c>
    </row>
    <row r="22" spans="6:6" x14ac:dyDescent="0.35">
      <c r="F22" t="s">
        <v>90</v>
      </c>
    </row>
    <row r="23" spans="6:6" x14ac:dyDescent="0.35">
      <c r="F23" t="s">
        <v>91</v>
      </c>
    </row>
    <row r="24" spans="6:6" x14ac:dyDescent="0.35">
      <c r="F24" t="s">
        <v>92</v>
      </c>
    </row>
    <row r="25" spans="6:6" x14ac:dyDescent="0.35">
      <c r="F25" t="s">
        <v>93</v>
      </c>
    </row>
    <row r="26" spans="6:6" x14ac:dyDescent="0.35">
      <c r="F26" t="s">
        <v>94</v>
      </c>
    </row>
    <row r="27" spans="6:6" x14ac:dyDescent="0.35">
      <c r="F27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analyzer_name_selection</vt:lpstr>
      <vt:lpstr>Analyzers!analyzer_names</vt:lpstr>
      <vt:lpstr>Analyzers!analyzer_weights</vt:lpstr>
      <vt:lpstr>boolean_selection</vt:lpstr>
      <vt:lpstr>calibration_methods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'Observations metadata'!obs_stratifiers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2018-03-14T21:05:12Z</dcterms:modified>
</cp:coreProperties>
</file>