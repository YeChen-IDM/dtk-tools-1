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_new\"/>
    </mc:Choice>
  </mc:AlternateContent>
  <xr:revisionPtr revIDLastSave="0" documentId="10_ncr:100000_{2A46E4D8-3FF6-4EDC-AAFB-63B0C9AFC1DB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Model Parameters" sheetId="1" r:id="rId2"/>
    <sheet name="OptimTool parameters" sheetId="4" state="hidden" r:id="rId3"/>
    <sheet name="Observations metadata" sheetId="6" r:id="rId4"/>
    <sheet name="Analyzers" sheetId="7" r:id="rId5"/>
    <sheet name="Options" sheetId="3" state="hidden" r:id="rId6"/>
  </sheets>
  <functionGroups builtInGroupCount="19"/>
  <definedNames>
    <definedName name="age_bin_selection">Options!$I$2:$I$4</definedName>
    <definedName name="age_bins" localSheetId="4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s" localSheetId="4">Analyzers!$A$7:$A$16</definedName>
    <definedName name="custom_age_bins" localSheetId="4">Analyzers!$F$7:$F$16</definedName>
    <definedName name="diseases">Options!$C$2:$C$5</definedName>
    <definedName name="distributions" localSheetId="4">Analyzers!$B$7:$B$16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3">'Observations metadata'!$A$8:$L$8</definedName>
    <definedName name="obs_metadata" localSheetId="3">'Observations metadata'!$A$13:$Y$32</definedName>
    <definedName name="provincialities" localSheetId="4">Analyzers!$C$7:$C$16</definedName>
    <definedName name="provinciality">Options!$G$2:$G$4</definedName>
    <definedName name="select_label">Options!$J$2</definedName>
    <definedName name="use_existing_obs" localSheetId="0">General!$B$8</definedName>
    <definedName name="weights" localSheetId="4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<sst xmlns="http://schemas.openxmlformats.org/spreadsheetml/2006/main" count="242" uniqueCount="87">
  <si>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</si>
  <si>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</si>
  <si>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</si>
  <si>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</si>
  <si>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</si>
  <si>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</si>
  <si>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</si>
  <si>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</si>
  <si>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</si>
  <si>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</si>
  <si>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</si>
  <si>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</si>
  <si>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</si>
  <si>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</si>
  <si>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</si>
  <si>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</si>
  <si>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</si>
  <si>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</si>
  <si>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</si>
  <si>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</si>
  <si>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</si>
  <si>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</si>
  <si>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</si>
  <si>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</si>
  <si>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</si>
  <si>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</si>
  <si>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</si>
  <si>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</si>
  <si>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</si>
  <si>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</si>
  <si>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</si>
  <si>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</si>
  <si>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</si>
  <si>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</si>
  <si>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</si>
  <si>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</si>
  <si>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</si>
  <si>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</si>
  <si>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</si>
  <si>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</si>
  <si>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</si>
  <si>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</si>
  <si>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</si>
  <si>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</si>
  <si>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</si>
  <si>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</si>
  <si>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</si>
  <si>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</si>
  <si>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</si>
  <si>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</si>
  <si>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</si>
  <si>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</si>
  <si>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</si>
  <si>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</si>
  <si>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</si>
  <si>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</si>
  <si>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</si>
  <si>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</si>
  <si>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</si>
  <si>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</si>
  <si>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</si>
  <si>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</si>
  <si>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</si>
  <si>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</si>
  <si>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</si>
  <si>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</si>
  <si>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</si>
  <si>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</si>
  <si>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</si>
  <si>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</si>
  <si>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</si>
  <si>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</si>
  <si>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</si>
  <si>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</si>
  <si>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</si>
  <si>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</si>
  <si>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</si>
  <si>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</si>
  <si>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</si>
  <si>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</si>
  <si>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</si>
  <si>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</si>
  <si>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</si>
  <si>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</si>
  <si>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</si>
  <si>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p3</t>
  </si>
  <si>
    <t>string_value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</si>
</sst>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</cellXfs>
  <cellStyles count="1">
    <cellStyle name="Normal" xfId="0" builtinId="0"/>
  </cellStyles>
  <dxfs count="1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1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tabSelected="1" workbookViewId="0">
      <selection activeCell="E19" sqref="E19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 t="s">
        <v>85</v>
      </c>
      <c r="B6" s="5" t="b">
        <v>1</v>
      </c>
      <c r="C6" s="4" t="s">
        <v>86</v>
      </c>
      <c r="D6" s="5">
        <v>0</v>
      </c>
      <c r="E6" s="4">
        <v>1</v>
      </c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0" priority="7">
      <formula>AND(OR(C2 &lt; D2, C2 &gt; E2, C2 = none), A2 &lt;&gt; none)</formula>
    </cfRule>
  </conditionalFormatting>
  <conditionalFormatting sqref="C7">
    <cfRule type="expression" dxfId="9" priority="6">
      <formula>AND(OR(C7 &lt; D7, C7 &gt; E7), A7 &lt;&gt; "")</formula>
    </cfRule>
  </conditionalFormatting>
  <conditionalFormatting sqref="D2:D101">
    <cfRule type="expression" dxfId="8" priority="4">
      <formula>AND(OR(D2 &gt; E2, D2=none), A2 &lt;&gt; none)</formula>
    </cfRule>
  </conditionalFormatting>
  <conditionalFormatting sqref="E2:E101">
    <cfRule type="expression" dxfId="7" priority="2">
      <formula>AND(OR(E2 &lt; D2, E2=none), A2 &lt;&gt; none)</formula>
    </cfRule>
  </conditionalFormatting>
  <conditionalFormatting sqref="B2:B101">
    <cfRule type="expression" dxfId="6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46</v>
      </c>
      <c r="B10" s="18"/>
      <c r="C10" s="19" t="s">
        <v>55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48</v>
      </c>
      <c r="B12" t="s">
        <v>49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30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4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6">
      <formula>D7&lt;&gt;"Custom"</formula>
    </cfRule>
    <cfRule type="expression" dxfId="4" priority="1">
      <formula>AND(D7="Custom", F7=none, AND(A7&lt;&gt;select_label, A7&lt;&gt;none))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</cols>
  <sheetData>
    <row r="1" spans="1:10" s="3" customFormat="1" x14ac:dyDescent="0.35">
      <c r="A1" s="3" t="s">
        <v>11</v>
      </c>
      <c r="B1" s="31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</row>
    <row r="2" spans="1:10" x14ac:dyDescent="0.35">
      <c r="A2" s="32" t="s">
        <v>12</v>
      </c>
      <c r="B2" s="32" t="s">
        <v>12</v>
      </c>
      <c r="C2" s="32" t="s">
        <v>12</v>
      </c>
      <c r="D2" s="32" t="s">
        <v>12</v>
      </c>
      <c r="E2" s="32" t="s">
        <v>56</v>
      </c>
      <c r="F2" s="32" t="s">
        <v>12</v>
      </c>
      <c r="G2" s="32" t="s">
        <v>12</v>
      </c>
      <c r="H2" s="32" t="s">
        <v>12</v>
      </c>
      <c r="I2" s="32" t="s">
        <v>12</v>
      </c>
      <c r="J2" s="32" t="s">
        <v>12</v>
      </c>
    </row>
    <row r="3" spans="1:10" x14ac:dyDescent="0.35">
      <c r="A3" s="33" t="b">
        <v>1</v>
      </c>
      <c r="B3" s="33" t="s">
        <v>14</v>
      </c>
      <c r="C3" s="33" t="s">
        <v>18</v>
      </c>
      <c r="D3" s="33" t="s">
        <v>43</v>
      </c>
      <c r="F3" s="33" t="s">
        <v>70</v>
      </c>
      <c r="G3" s="33" t="s">
        <v>68</v>
      </c>
      <c r="H3" s="33" t="str">
        <f t="array" ref="H3:H14">TRANSPOSE(IF('Observations metadata'!obs_data_channels="","",'Observations metadata'!obs_data_channels))</f>
        <v/>
      </c>
      <c r="I3" s="33" t="s">
        <v>77</v>
      </c>
    </row>
    <row r="4" spans="1:10" x14ac:dyDescent="0.35">
      <c r="A4" s="33" t="b">
        <v>0</v>
      </c>
      <c r="B4" s="33" t="s">
        <v>15</v>
      </c>
      <c r="C4" s="33" t="s">
        <v>19</v>
      </c>
      <c r="D4" s="33" t="s">
        <v>44</v>
      </c>
      <c r="F4" s="33" t="s">
        <v>71</v>
      </c>
      <c r="G4" s="33" t="s">
        <v>69</v>
      </c>
      <c r="H4" s="33" t="str">
        <v/>
      </c>
      <c r="I4" s="33" t="s">
        <v>78</v>
      </c>
    </row>
    <row r="5" spans="1:10" x14ac:dyDescent="0.35">
      <c r="B5" s="33" t="s">
        <v>16</v>
      </c>
      <c r="C5" s="33" t="s">
        <v>20</v>
      </c>
      <c r="D5" s="33" t="s">
        <v>45</v>
      </c>
      <c r="H5" s="33" t="str">
        <v/>
      </c>
    </row>
    <row r="6" spans="1:10" x14ac:dyDescent="0.35">
      <c r="H6" s="33" t="str">
        <v/>
      </c>
    </row>
    <row r="7" spans="1:10" x14ac:dyDescent="0.35">
      <c r="H7" s="33" t="str">
        <v/>
      </c>
    </row>
    <row r="8" spans="1:10" x14ac:dyDescent="0.35">
      <c r="H8" s="33" t="str">
        <v/>
      </c>
    </row>
    <row r="9" spans="1:10" x14ac:dyDescent="0.35">
      <c r="H9" s="33" t="str">
        <v/>
      </c>
    </row>
    <row r="10" spans="1:10" x14ac:dyDescent="0.35">
      <c r="H10" s="33" t="str">
        <v/>
      </c>
    </row>
    <row r="11" spans="1:10" x14ac:dyDescent="0.35">
      <c r="H11" s="33" t="str">
        <v/>
      </c>
    </row>
    <row r="12" spans="1:10" x14ac:dyDescent="0.35">
      <c r="H12" s="33" t="str">
        <v/>
      </c>
    </row>
    <row r="13" spans="1:10" x14ac:dyDescent="0.35">
      <c r="H13" s="33" t="str">
        <v/>
      </c>
    </row>
    <row r="14" spans="1:10" x14ac:dyDescent="0.35">
      <c r="H14" s="33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General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Analyzers!provincialities</vt:lpstr>
      <vt:lpstr>provinciality</vt:lpstr>
      <vt:lpstr>select_label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2018-09-20T17:46:30Z</dcterms:modified>
</cp:coreProperties>
</file>