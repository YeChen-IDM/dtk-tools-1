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47C15BDB-2F12-49CD-89E8-ED5901CDB93B}" xr6:coauthVersionLast="31" xr6:coauthVersionMax="31" xr10:uidLastSave="{00000000-0000-0000-0000-000000000000}"/>
  <bookViews>
    <workbookView xWindow="0" yWindow="0" windowWidth="15340" windowHeight="6450" firstSheet="1" activeTab="4" xr2:uid="{00000000-000D-0000-FFFF-FFFF00000000}"/>
  </bookViews>
  <sheets>
    <sheet name="General" sheetId="2" state="hidden" r:id="rId1"/>
    <sheet name="Model Parameters" sheetId="1" r:id="rId2"/>
    <sheet name="OptimTool parameters" sheetId="4" state="hidden" r:id="rId3"/>
    <sheet name="Observations metadata" sheetId="6" r:id="rId4"/>
    <sheet name="Analyzers" sheetId="7" r:id="rId5"/>
    <sheet name="Options" sheetId="3" state="hidden" r:id="rId6"/>
  </sheets>
  <definedNames>
    <definedName name="age_bin_selection">Options!$I$2:$I$4</definedName>
    <definedName name="age_bins" localSheetId="4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s" localSheetId="4">Analyzers!$A$7:$A$16</definedName>
    <definedName name="custom_age_bins" localSheetId="4">Analyzers!$F$7:$F$16</definedName>
    <definedName name="diseases">Options!$C$2:$C$5</definedName>
    <definedName name="distributions" localSheetId="4">Analyzers!$B$7:$B$16</definedName>
    <definedName name="dynamic" localSheetId="1">'Model Parameters'!$B$2:$B$101</definedName>
    <definedName name="form_version" localSheetId="0">General!$G$1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3">'Observations metadata'!$A$8:$L$8</definedName>
    <definedName name="obs_metadata" localSheetId="3">'Observations metadata'!$A$13:$Y$32</definedName>
    <definedName name="provincialities" localSheetId="4">Analyzers!$C$7:$C$16</definedName>
    <definedName name="provinciality">Options!$G$2:$G$4</definedName>
    <definedName name="select_label">Options!$J$2</definedName>
    <definedName name="use_existing_obs" localSheetId="0">General!$B$8</definedName>
    <definedName name="weights" localSheetId="4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<sst xmlns="http://schemas.openxmlformats.org/spreadsheetml/2006/main" count="242" uniqueCount="86">
  <si>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</si>
  <si>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</si>
  <si>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</si>
  <si>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</si>
  <si>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</si>
  <si>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</si>
  <si>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</si>
  <si>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</si>
  <si>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</si>
  <si>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</si>
  <si>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</si>
  <si>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</si>
  <si>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</si>
  <si>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</si>
  <si>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</si>
  <si>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</si>
  <si>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</si>
  <si>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</si>
  <si>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</si>
  <si>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</si>
  <si>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</si>
  <si>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</si>
  <si>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</si>
  <si>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</si>
  <si>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</si>
  <si>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</si>
  <si>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</si>
  <si>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</si>
  <si>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</si>
  <si>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</si>
  <si>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</si>
  <si>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</si>
  <si>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</si>
  <si>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</si>
  <si>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</si>
  <si>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</si>
  <si>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</si>
  <si>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</si>
  <si>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</si>
  <si>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</si>
  <si>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</si>
  <si>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</si>
  <si>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</si>
  <si>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</si>
  <si>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</si>
  <si>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</si>
  <si>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</si>
  <si>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</si>
  <si>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</si>
  <si>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</si>
  <si>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</si>
  <si>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</si>
  <si>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</si>
  <si>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</si>
  <si>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</si>
  <si>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</si>
  <si>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</si>
  <si>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</si>
  <si>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</si>
  <si>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</si>
  <si>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</si>
  <si>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</si>
  <si>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</si>
  <si>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</si>
  <si>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</si>
  <si>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</si>
  <si>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</si>
  <si>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</si>
  <si>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</si>
  <si>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</si>
  <si>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</si>
  <si>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</si>
  <si>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</si>
  <si>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</si>
  <si>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</si>
  <si>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</si>
  <si>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</si>
  <si>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</si>
  <si>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</si>
  <si>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</si>
  <si>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</si>
  <si>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</si>
  <si>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</si>
  <si>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</si>
  <si>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</si>
  <si>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channel1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</si>
</sst>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</cellXfs>
  <cellStyles count="1">
    <cellStyle name="Normal" xfId="0" builtinId="0"/>
  </cellStyles>
  <dxfs count="12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1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0" priority="7">
      <formula>AND(OR(C2 &lt; D2, C2 &gt; E2, C2 = none), A2 &lt;&gt; none)</formula>
    </cfRule>
  </conditionalFormatting>
  <conditionalFormatting sqref="C7">
    <cfRule type="expression" dxfId="9" priority="6">
      <formula>AND(OR(C7 &lt; D7, C7 &gt; E7), A7 &lt;&gt; "")</formula>
    </cfRule>
  </conditionalFormatting>
  <conditionalFormatting sqref="D2:D101">
    <cfRule type="expression" dxfId="8" priority="4">
      <formula>AND(OR(D2 &gt; E2, D2=none), A2 &lt;&gt; none)</formula>
    </cfRule>
  </conditionalFormatting>
  <conditionalFormatting sqref="E2:E101">
    <cfRule type="expression" dxfId="7" priority="2">
      <formula>AND(OR(E2 &lt; D2, E2=none), A2 &lt;&gt; none)</formula>
    </cfRule>
  </conditionalFormatting>
  <conditionalFormatting sqref="B2:B101">
    <cfRule type="expression" dxfId="6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6" t="s">
        <v>85</v>
      </c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46</v>
      </c>
      <c r="B10" s="18"/>
      <c r="C10" s="19" t="s">
        <v>55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48</v>
      </c>
      <c r="B12" t="s">
        <v>49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tabSelected="1" workbookViewId="0">
      <selection activeCell="E12" sqref="E12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30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4" t="s">
        <v>85</v>
      </c>
      <c r="B7" s="6" t="s">
        <v>70</v>
      </c>
      <c r="C7" s="6" t="s">
        <v>68</v>
      </c>
      <c r="D7" s="6" t="s">
        <v>77</v>
      </c>
      <c r="E7" s="6">
        <v>0.1</v>
      </c>
      <c r="F7" s="6"/>
    </row>
    <row r="8" spans="1:8" x14ac:dyDescent="0.35">
      <c r="A8" s="7" t="s">
        <v>85</v>
      </c>
      <c r="B8" s="7" t="s">
        <v>70</v>
      </c>
      <c r="C8" s="7" t="s">
        <v>69</v>
      </c>
      <c r="D8" s="7" t="s">
        <v>12</v>
      </c>
      <c r="E8" s="7">
        <v>0.2</v>
      </c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6">
      <formula>D7&lt;&gt;"Custom"</formula>
    </cfRule>
    <cfRule type="expression" dxfId="4" priority="1">
      <formula>AND(D7="Custom", F7=none, AND(A7&lt;&gt;select_label, A7&lt;&gt;none))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</cols>
  <sheetData>
    <row r="1" spans="1:10" s="3" customFormat="1" x14ac:dyDescent="0.35">
      <c r="A1" s="3" t="s">
        <v>11</v>
      </c>
      <c r="B1" s="31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</row>
    <row r="2" spans="1:10" x14ac:dyDescent="0.35">
      <c r="A2" s="32" t="s">
        <v>12</v>
      </c>
      <c r="B2" s="32" t="s">
        <v>12</v>
      </c>
      <c r="C2" s="32" t="s">
        <v>12</v>
      </c>
      <c r="D2" s="32" t="s">
        <v>12</v>
      </c>
      <c r="E2" s="32" t="s">
        <v>56</v>
      </c>
      <c r="F2" s="32" t="s">
        <v>12</v>
      </c>
      <c r="G2" s="32" t="s">
        <v>12</v>
      </c>
      <c r="H2" s="32" t="s">
        <v>12</v>
      </c>
      <c r="I2" s="32" t="s">
        <v>12</v>
      </c>
      <c r="J2" s="32" t="s">
        <v>12</v>
      </c>
    </row>
    <row r="3" spans="1:10" x14ac:dyDescent="0.35">
      <c r="A3" s="33" t="b">
        <v>1</v>
      </c>
      <c r="B3" s="33" t="s">
        <v>14</v>
      </c>
      <c r="C3" s="33" t="s">
        <v>18</v>
      </c>
      <c r="D3" s="33" t="s">
        <v>43</v>
      </c>
      <c r="F3" s="33" t="s">
        <v>70</v>
      </c>
      <c r="G3" s="33" t="s">
        <v>68</v>
      </c>
      <c r="H3" s="33" t="str">
        <f t="array" ref="H3:H14">TRANSPOSE(IF('Observations metadata'!obs_data_channels="","",'Observations metadata'!obs_data_channels))</f>
        <v>channel1</v>
      </c>
      <c r="I3" s="33" t="s">
        <v>77</v>
      </c>
    </row>
    <row r="4" spans="1:10" x14ac:dyDescent="0.35">
      <c r="A4" s="33" t="b">
        <v>0</v>
      </c>
      <c r="B4" s="33" t="s">
        <v>15</v>
      </c>
      <c r="C4" s="33" t="s">
        <v>19</v>
      </c>
      <c r="D4" s="33" t="s">
        <v>44</v>
      </c>
      <c r="F4" s="33" t="s">
        <v>71</v>
      </c>
      <c r="G4" s="33" t="s">
        <v>69</v>
      </c>
      <c r="H4" s="33" t="str">
        <v/>
      </c>
      <c r="I4" s="33" t="s">
        <v>78</v>
      </c>
    </row>
    <row r="5" spans="1:10" x14ac:dyDescent="0.35">
      <c r="B5" s="33" t="s">
        <v>16</v>
      </c>
      <c r="C5" s="33" t="s">
        <v>20</v>
      </c>
      <c r="D5" s="33" t="s">
        <v>45</v>
      </c>
      <c r="H5" s="33" t="str">
        <v/>
      </c>
    </row>
    <row r="6" spans="1:10" x14ac:dyDescent="0.35">
      <c r="H6" s="33" t="str">
        <v/>
      </c>
    </row>
    <row r="7" spans="1:10" x14ac:dyDescent="0.35">
      <c r="H7" s="33" t="str">
        <v/>
      </c>
    </row>
    <row r="8" spans="1:10" x14ac:dyDescent="0.35">
      <c r="H8" s="33" t="str">
        <v/>
      </c>
    </row>
    <row r="9" spans="1:10" x14ac:dyDescent="0.35">
      <c r="H9" s="33" t="str">
        <v/>
      </c>
    </row>
    <row r="10" spans="1:10" x14ac:dyDescent="0.35">
      <c r="H10" s="33" t="str">
        <v/>
      </c>
    </row>
    <row r="11" spans="1:10" x14ac:dyDescent="0.35">
      <c r="H11" s="33" t="str">
        <v/>
      </c>
    </row>
    <row r="12" spans="1:10" x14ac:dyDescent="0.35">
      <c r="H12" s="33" t="str">
        <v/>
      </c>
    </row>
    <row r="13" spans="1:10" x14ac:dyDescent="0.35">
      <c r="H13" s="33" t="str">
        <v/>
      </c>
    </row>
    <row r="14" spans="1:10" x14ac:dyDescent="0.35">
      <c r="H14" s="33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General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Analyzers!provincialities</vt:lpstr>
      <vt:lpstr>provinciality</vt:lpstr>
      <vt:lpstr>select_label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2018-09-20T18:09:46Z</dcterms:modified>
</cp:coreProperties>
</file>