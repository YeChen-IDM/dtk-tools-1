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kirkman\code\dtk-tools\ck4\test\input\Excel\ingest\"/>
    </mc:Choice>
  </mc:AlternateContent>
  <xr:revisionPtr revIDLastSave="0" documentId="10_ncr:100000_{235DC9F7-8535-4083-91B1-35D9D89930BD}" xr6:coauthVersionLast="31" xr6:coauthVersionMax="31" xr10:uidLastSave="{00000000-0000-0000-0000-000000000000}"/>
  <bookViews>
    <workbookView xWindow="0" yWindow="0" windowWidth="15340" windowHeight="6450" firstSheet="1" activeTab="1" xr2:uid="{00000000-000D-0000-FFFF-FFFF00000000}"/>
  </bookViews>
  <sheets>
    <sheet name="General" sheetId="2" state="hidden" r:id="rId1"/>
    <sheet name="Site" sheetId="11" r:id="rId2"/>
    <sheet name="Model Parameters" sheetId="1" r:id="rId3"/>
    <sheet name="OptimTool parameters" sheetId="4" state="hidden" r:id="rId4"/>
    <sheet name="Observations metadata" sheetId="6" r:id="rId5"/>
    <sheet name="Analyzers" sheetId="7" r:id="rId6"/>
    <sheet name="Options" sheetId="3" state="hidden" r:id="rId7"/>
  </sheets>
  <functionGroups builtInGroupCount="19"/>
  <definedNames>
    <definedName name="age_bin_selection">Options!$I$2:$I$4</definedName>
    <definedName name="age_bins" localSheetId="5">Analyzers!$D$7:$D$16</definedName>
    <definedName name="allowed_data_channels">Options!$H$2:$H$14</definedName>
    <definedName name="allowed_distributions">Options!$F$2:$F$4</definedName>
    <definedName name="boolean_selection">Options!$A$2:$A$4</definedName>
    <definedName name="calibration_methods">Options!$B$2:$B$5</definedName>
    <definedName name="channel_pop_scaling" localSheetId="4">'Observations metadata'!$A$10:$L$10</definedName>
    <definedName name="channels" localSheetId="5">Analyzers!$A$7:$A$16</definedName>
    <definedName name="custom_age_bins" localSheetId="5">Analyzers!$F$7:$F$16</definedName>
    <definedName name="diseases">Options!$C$2:$C$5</definedName>
    <definedName name="distributions" localSheetId="5">Analyzers!$B$7:$B$16</definedName>
    <definedName name="dynamic" localSheetId="2">'Model Parameters'!$B$2:$B$101</definedName>
    <definedName name="form_version" localSheetId="0">General!$G$1</definedName>
    <definedName name="gender_selection">Options!$D$2:$D$5</definedName>
    <definedName name="initial_value" localSheetId="2">'Model Parameters'!$C$2:$C$101</definedName>
    <definedName name="map_to" localSheetId="2">'Model Parameters'!$F$2:$F$101</definedName>
    <definedName name="max" localSheetId="2">'Model Parameters'!$E$2:$E$101</definedName>
    <definedName name="min" localSheetId="2">'Model Parameters'!$D$2:$D$101</definedName>
    <definedName name="n_center_repeats" localSheetId="3">'OptimTool parameters'!$B$3</definedName>
    <definedName name="n_replicates">General!$B$6</definedName>
    <definedName name="n_samples_per_iteration" localSheetId="3">'OptimTool parameters'!$B$4</definedName>
    <definedName name="name" localSheetId="2">'Model Parameters'!$A$2:$A$101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4">'Observations metadata'!$A$8:$L$8</definedName>
    <definedName name="obs_metadata" localSheetId="4">'Observations metadata'!$A$15:$Y$34</definedName>
    <definedName name="pop_scaling_options">Options!$K$2:$K$4</definedName>
    <definedName name="provincialities" localSheetId="5">Analyzers!$C$7:$C$16</definedName>
    <definedName name="provinciality">Options!$G$2:$G$4</definedName>
    <definedName name="select_label">Options!$J$2</definedName>
    <definedName name="site_age_bin" localSheetId="1">Site!$B$10</definedName>
    <definedName name="site_name" localSheetId="1">Site!$B$7</definedName>
    <definedName name="site_node_names" localSheetId="1">Site!$B$12:$M$12</definedName>
    <definedName name="site_node_numbers" localSheetId="1">Site!$B$11:$M$11</definedName>
    <definedName name="site_population" localSheetId="1">Site!$B$8</definedName>
    <definedName name="site_year" localSheetId="1">Site!$B$9</definedName>
    <definedName name="use_existing_obs" localSheetId="0">General!$B$8</definedName>
    <definedName name="weights" localSheetId="5">Analyzers!$E$7:$E$16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3" l="1" a="1"/>
  <c r="H3" i="3" s="1"/>
  <c r="H14" i="3" l="1"/>
  <c r="H10" i="3"/>
  <c r="H6" i="3"/>
  <c r="H13" i="3"/>
  <c r="H9" i="3"/>
  <c r="H5" i="3"/>
  <c r="H12" i="3"/>
  <c r="H8" i="3"/>
  <c r="H4" i="3"/>
  <c r="H11" i="3"/>
  <c r="H7" i="3"/>
  <c r="B12" i="2"/>
  <c r="B11" i="2"/>
  <c r="F3" i="4" l="1"/>
  <c r="F5" i="4" s="1"/>
  <c r="B13" i="2" s="1"/>
</calcChain>
</file>

<file path=xl/sharedStrings.xml><?xml version="1.0" encoding="utf-8"?>
<sst xmlns="http://schemas.openxmlformats.org/spreadsheetml/2006/main" count="274" uniqueCount="105">
  <si>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</si>
  <si>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</si>
  <si>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</si>
  <si>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</si>
  <si>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</si>
  <si>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</si>
  <si>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</si>
  <si>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</si>
  <si>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</si>
  <si>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</si>
  <si>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</si>
  <si>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</si>
  <si>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</si>
  <si>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</si>
  <si>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</si>
  <si>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</si>
  <si>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</si>
  <si>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</si>
  <si>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</si>
  <si>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</si>
  <si>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</si>
  <si>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</si>
  <si>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</si>
  <si>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</si>
  <si>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</si>
  <si>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</si>
  <si>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</si>
  <si>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</si>
  <si>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</si>
  <si>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</si>
  <si>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</si>
  <si>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</si>
  <si>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</si>
  <si>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</si>
  <si>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</si>
  <si>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</si>
  <si>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</si>
  <si>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</si>
  <si>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</si>
  <si>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</si>
  <si>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</si>
  <si>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</si>
  <si>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gender selection</t>
  </si>
  <si>
    <t>Female</t>
  </si>
  <si>
    <t>Male</t>
  </si>
  <si>
    <t>Both</t>
  </si>
  <si>
    <t>Other metadata items</t>
  </si>
  <si>
    <t>Use existing observations?</t>
  </si>
  <si>
    <t>Key</t>
  </si>
  <si>
    <t>Value(s)</t>
  </si>
  <si>
    <t>All metadata key/values will be included as a CSV header to all observations</t>
  </si>
  <si>
    <t>Data Channels</t>
  </si>
  <si>
    <t>Notes:</t>
  </si>
  <si>
    <t>If TRUE, asset collection id:</t>
  </si>
  <si>
    <t>none</t>
  </si>
  <si>
    <t># not currently used</t>
  </si>
  <si>
    <t/>
  </si>
  <si>
    <t># it would be great to store observations in a retrievable location. AssetManager is one current option.</t>
  </si>
  <si>
    <t># not currently enforced</t>
  </si>
  <si>
    <t>One 'Obs' sheet will be provided per data channel</t>
  </si>
  <si>
    <t>When this page is complete, click the "Create obs sheets" button.</t>
  </si>
  <si>
    <t>Warning:  All existing "Obs-CHANNEL" sheets NOT specified</t>
  </si>
  <si>
    <t xml:space="preserve"> by "Data Channels" below will be deleted.</t>
  </si>
  <si>
    <t>Data Channels can be added later and sheets created with no data loss</t>
  </si>
  <si>
    <t>Form Version:</t>
  </si>
  <si>
    <t>Channel</t>
  </si>
  <si>
    <t>Provinciality</t>
  </si>
  <si>
    <t>provinciality</t>
  </si>
  <si>
    <t>Provincial</t>
  </si>
  <si>
    <t>Non-provincial</t>
  </si>
  <si>
    <t>Gaussian</t>
  </si>
  <si>
    <t>Beta</t>
  </si>
  <si>
    <t>Weight</t>
  </si>
  <si>
    <t>Distribution</t>
  </si>
  <si>
    <t>allowed_data_channels</t>
  </si>
  <si>
    <t>weight is a float between [0, 1]</t>
  </si>
  <si>
    <t>age_bin_selection</t>
  </si>
  <si>
    <t>All matching</t>
  </si>
  <si>
    <t>Custom</t>
  </si>
  <si>
    <t>Age bins</t>
  </si>
  <si>
    <t>Custom age bins</t>
  </si>
  <si>
    <t>allowed_distributions</t>
  </si>
  <si>
    <t>If 'Age bin' is 'Custom', you must provide a comma-separated list of desired age bins in ':' format, no spaces. E.g. [15:25),[5:50)</t>
  </si>
  <si>
    <t>If channel is set, all details in the row will be expected</t>
  </si>
  <si>
    <t>select_label</t>
  </si>
  <si>
    <t>Population</t>
  </si>
  <si>
    <t>Year</t>
  </si>
  <si>
    <t>Age bin</t>
  </si>
  <si>
    <t>Node number</t>
  </si>
  <si>
    <t>Node name</t>
  </si>
  <si>
    <t>Notes</t>
  </si>
  <si>
    <t>Node numbers are integers &gt;= 1</t>
  </si>
  <si>
    <t>This information is used for 1) scaling the population data in simulations and 2) mapping node numbers to names to match reference data</t>
  </si>
  <si>
    <t>Site name</t>
  </si>
  <si>
    <t>Age bin is in ':' format, no spaces. E.g. [15:65)</t>
  </si>
  <si>
    <t>Scaling</t>
  </si>
  <si>
    <t>Non-scaling</t>
  </si>
  <si>
    <t>pop_scaling_options</t>
  </si>
  <si>
    <t>Scaling by population in simulations</t>
  </si>
  <si>
    <t>Year is an integer</t>
  </si>
  <si>
    <t>Chile</t>
  </si>
  <si>
    <t>[0:100)</t>
  </si>
  <si>
    <t>Atacama</t>
  </si>
  <si>
    <t>Antofagasta</t>
  </si>
  <si>
    <t>Coquimbo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</si>
</sst>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Trellis">
        <fgColor theme="1" tint="0.24994659260841701"/>
        <bgColor theme="7" tint="0.79998168889431442"/>
      </patternFill>
    </fill>
    <fill>
      <patternFill patternType="lightTrellis">
        <fgColor theme="1" tint="0.24994659260841701"/>
        <bgColor theme="9" tint="0.79998168889431442"/>
      </patternFill>
    </fill>
    <fill>
      <patternFill patternType="lightTrellis">
        <fgColor theme="1" tint="0.24994659260841701"/>
        <bgColor theme="5" tint="0.79998168889431442"/>
      </patternFill>
    </fill>
    <fill>
      <patternFill patternType="lightTrellis"/>
    </fill>
    <fill>
      <patternFill patternType="solid">
        <fgColor theme="2" tint="-0.249977111117893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0" borderId="0" xfId="0" quotePrefix="1"/>
    <xf numFmtId="0" fontId="0" fillId="0" borderId="0" xfId="0" applyFill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0" borderId="2" xfId="0" applyBorder="1"/>
    <xf numFmtId="0" fontId="0" fillId="4" borderId="2" xfId="0" applyFill="1" applyBorder="1"/>
    <xf numFmtId="0" fontId="1" fillId="4" borderId="3" xfId="0" applyFont="1" applyFill="1" applyBorder="1"/>
    <xf numFmtId="0" fontId="1" fillId="4" borderId="2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2" fillId="0" borderId="0" xfId="0" quotePrefix="1" applyFont="1"/>
    <xf numFmtId="0" fontId="0" fillId="4" borderId="1" xfId="0" applyFill="1" applyBorder="1"/>
    <xf numFmtId="0" fontId="2" fillId="0" borderId="0" xfId="0" applyFont="1"/>
    <xf numFmtId="0" fontId="2" fillId="0" borderId="0" xfId="0" applyFont="1" applyAlignment="1"/>
    <xf numFmtId="0" fontId="0" fillId="0" borderId="1" xfId="0" applyBorder="1"/>
    <xf numFmtId="0" fontId="2" fillId="0" borderId="1" xfId="0" applyFont="1" applyFill="1" applyBorder="1"/>
    <xf numFmtId="0" fontId="2" fillId="0" borderId="1" xfId="0" applyFont="1" applyBorder="1"/>
    <xf numFmtId="11" fontId="1" fillId="2" borderId="2" xfId="0" applyNumberFormat="1" applyFont="1" applyFill="1" applyBorder="1"/>
    <xf numFmtId="11" fontId="1" fillId="3" borderId="2" xfId="0" applyNumberFormat="1" applyFont="1" applyFill="1" applyBorder="1"/>
    <xf numFmtId="0" fontId="0" fillId="5" borderId="2" xfId="0" applyFill="1" applyBorder="1" applyAlignment="1">
      <alignment wrapText="1"/>
    </xf>
    <xf numFmtId="0" fontId="0" fillId="6" borderId="2" xfId="0" applyFill="1" applyBorder="1"/>
    <xf numFmtId="0" fontId="0" fillId="5" borderId="2" xfId="0" applyFill="1" applyBorder="1"/>
    <xf numFmtId="0" fontId="0" fillId="7" borderId="2" xfId="0" applyFill="1" applyBorder="1"/>
    <xf numFmtId="0" fontId="1" fillId="6" borderId="2" xfId="0" applyFont="1" applyFill="1" applyBorder="1"/>
    <xf numFmtId="0" fontId="0" fillId="8" borderId="0" xfId="0" applyFill="1"/>
    <xf numFmtId="0" fontId="1" fillId="0" borderId="0" xfId="0" applyFont="1"/>
    <xf numFmtId="0" fontId="0" fillId="4" borderId="0" xfId="0" quotePrefix="1" applyFill="1"/>
    <xf numFmtId="0" fontId="0" fillId="9" borderId="0" xfId="0" quotePrefix="1" applyFill="1"/>
    <xf numFmtId="0" fontId="0" fillId="9" borderId="0" xfId="0" applyFill="1"/>
    <xf numFmtId="0" fontId="0" fillId="3" borderId="2" xfId="0" quotePrefix="1" applyFill="1" applyBorder="1"/>
    <xf numFmtId="0" fontId="0" fillId="3" borderId="3" xfId="0" applyFill="1" applyBorder="1"/>
    <xf numFmtId="0" fontId="0" fillId="2" borderId="4" xfId="0" applyFill="1" applyBorder="1"/>
    <xf numFmtId="0" fontId="0" fillId="2" borderId="3" xfId="0" applyFill="1" applyBorder="1"/>
    <xf numFmtId="0" fontId="0" fillId="3" borderId="5" xfId="0" applyFill="1" applyBorder="1"/>
    <xf numFmtId="0" fontId="0" fillId="2" borderId="5" xfId="0" applyFill="1" applyBorder="1"/>
    <xf numFmtId="0" fontId="0" fillId="0" borderId="6" xfId="0" applyFill="1" applyBorder="1"/>
    <xf numFmtId="0" fontId="2" fillId="0" borderId="6" xfId="0" applyFont="1" applyFill="1" applyBorder="1"/>
  </cellXfs>
  <cellStyles count="1">
    <cellStyle name="Normal" xfId="0" builtinId="0"/>
  </cellStyles>
  <dxfs count="14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lightTrellis">
          <fgColor theme="1" tint="0.24994659260841701"/>
        </patternFill>
      </fill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0</xdr:row>
          <xdr:rowOff>133350</xdr:rowOff>
        </xdr:from>
        <xdr:to>
          <xdr:col>9</xdr:col>
          <xdr:colOff>584200</xdr:colOff>
          <xdr:row>3</xdr:row>
          <xdr:rowOff>127000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Create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 obs sheets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3"/>
  <sheetViews>
    <sheetView workbookViewId="0">
      <selection activeCell="G2" sqref="G2"/>
    </sheetView>
  </sheetViews>
  <sheetFormatPr defaultRowHeight="14.5" x14ac:dyDescent="0.35"/>
  <cols>
    <col min="1" max="1" width="24.36328125" bestFit="1" customWidth="1"/>
    <col min="2" max="2" width="19.26953125" customWidth="1"/>
    <col min="4" max="4" width="22.7265625" bestFit="1" customWidth="1"/>
  </cols>
  <sheetData>
    <row r="1" spans="1:8" x14ac:dyDescent="0.35">
      <c r="A1" s="23" t="s">
        <v>6</v>
      </c>
      <c r="B1" s="24"/>
      <c r="E1" s="9" t="s">
        <v>64</v>
      </c>
      <c r="F1" s="9"/>
      <c r="G1" s="9">
        <v>0.3</v>
      </c>
    </row>
    <row r="2" spans="1:8" x14ac:dyDescent="0.35">
      <c r="A2" s="25" t="s">
        <v>8</v>
      </c>
      <c r="B2" s="24" t="s">
        <v>12</v>
      </c>
      <c r="C2" s="14" t="s">
        <v>10</v>
      </c>
    </row>
    <row r="3" spans="1:8" x14ac:dyDescent="0.35">
      <c r="A3" s="25" t="s">
        <v>7</v>
      </c>
      <c r="B3" s="24" t="s">
        <v>12</v>
      </c>
    </row>
    <row r="4" spans="1:8" x14ac:dyDescent="0.35">
      <c r="A4" s="25" t="s">
        <v>9</v>
      </c>
      <c r="B4" s="24"/>
      <c r="C4" s="16" t="s">
        <v>40</v>
      </c>
    </row>
    <row r="5" spans="1:8" x14ac:dyDescent="0.35">
      <c r="A5" s="25" t="s">
        <v>25</v>
      </c>
      <c r="B5" s="24"/>
      <c r="C5" s="1" t="s">
        <v>27</v>
      </c>
    </row>
    <row r="6" spans="1:8" x14ac:dyDescent="0.35">
      <c r="A6" s="25" t="s">
        <v>26</v>
      </c>
      <c r="B6" s="24"/>
      <c r="C6" s="1" t="s">
        <v>27</v>
      </c>
    </row>
    <row r="8" spans="1:8" x14ac:dyDescent="0.35">
      <c r="A8" s="4" t="s">
        <v>47</v>
      </c>
      <c r="B8" s="7" t="b">
        <v>0</v>
      </c>
      <c r="D8" s="24" t="s">
        <v>53</v>
      </c>
      <c r="E8" s="25"/>
      <c r="F8" s="16" t="s">
        <v>57</v>
      </c>
      <c r="H8" s="16"/>
    </row>
    <row r="10" spans="1:8" x14ac:dyDescent="0.35">
      <c r="A10" s="15" t="s">
        <v>39</v>
      </c>
    </row>
    <row r="11" spans="1:8" x14ac:dyDescent="0.35">
      <c r="A11" s="3" t="s">
        <v>35</v>
      </c>
      <c r="B11" s="3">
        <f>COUNTIF('Model Parameters'!B2:B101, FALSE)</f>
        <v>0</v>
      </c>
      <c r="C11" s="14" t="s">
        <v>37</v>
      </c>
    </row>
    <row r="12" spans="1:8" x14ac:dyDescent="0.35">
      <c r="A12" s="3" t="s">
        <v>36</v>
      </c>
      <c r="B12" s="3">
        <f>COUNTIF('Model Parameters'!B2:B101, TRUE)</f>
        <v>0</v>
      </c>
    </row>
    <row r="13" spans="1:8" x14ac:dyDescent="0.35">
      <c r="A13" s="3" t="s">
        <v>29</v>
      </c>
      <c r="B13" s="3">
        <f>'OptimTool parameters'!$F$5</f>
        <v>0</v>
      </c>
      <c r="C13" s="14" t="s">
        <v>37</v>
      </c>
    </row>
  </sheetData>
  <conditionalFormatting sqref="E8">
    <cfRule type="expression" dxfId="13" priority="1">
      <formula>AND(use_existing_obs = TRUE, obs_asset_collection_id = none)</formula>
    </cfRule>
  </conditionalFormatting>
  <dataValidations count="4">
    <dataValidation type="list" allowBlank="1" showInputMessage="1" showErrorMessage="1" sqref="B2" xr:uid="{00000000-0002-0000-0000-000000000000}">
      <formula1>calibration_methods</formula1>
    </dataValidation>
    <dataValidation type="list" allowBlank="1" showInputMessage="1" showErrorMessage="1" sqref="B3" xr:uid="{00000000-0002-0000-0000-000001000000}">
      <formula1>diseases</formula1>
    </dataValidation>
    <dataValidation type="whole" operator="greaterThanOrEqual" allowBlank="1" showInputMessage="1" showErrorMessage="1" sqref="B5:B6" xr:uid="{00000000-0002-0000-0000-000002000000}">
      <formula1>1</formula1>
    </dataValidation>
    <dataValidation type="list" allowBlank="1" showInputMessage="1" showErrorMessage="1" sqref="B8" xr:uid="{00000000-0002-0000-0000-000003000000}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47947-12A7-401B-A52C-CB4590B4B8BB}">
  <sheetPr codeName="Sheet7"/>
  <dimension ref="A1:M12"/>
  <sheetViews>
    <sheetView tabSelected="1" workbookViewId="0">
      <selection activeCell="E11" sqref="E11"/>
    </sheetView>
  </sheetViews>
  <sheetFormatPr defaultRowHeight="14.5" x14ac:dyDescent="0.35"/>
  <cols>
    <col min="1" max="1" width="12.36328125" bestFit="1" customWidth="1"/>
    <col min="2" max="2" width="16.36328125" customWidth="1"/>
  </cols>
  <sheetData>
    <row r="1" spans="1:13" x14ac:dyDescent="0.35">
      <c r="A1" s="16" t="s">
        <v>90</v>
      </c>
    </row>
    <row r="2" spans="1:13" x14ac:dyDescent="0.35">
      <c r="A2" s="16" t="s">
        <v>92</v>
      </c>
    </row>
    <row r="3" spans="1:13" x14ac:dyDescent="0.35">
      <c r="A3" s="16" t="s">
        <v>94</v>
      </c>
    </row>
    <row r="4" spans="1:13" x14ac:dyDescent="0.35">
      <c r="A4" s="16" t="s">
        <v>91</v>
      </c>
    </row>
    <row r="5" spans="1:13" x14ac:dyDescent="0.35">
      <c r="A5" s="16" t="s">
        <v>99</v>
      </c>
    </row>
    <row r="6" spans="1:13" x14ac:dyDescent="0.35">
      <c r="A6" s="16"/>
    </row>
    <row r="7" spans="1:13" x14ac:dyDescent="0.35">
      <c r="A7" s="11" t="s">
        <v>93</v>
      </c>
      <c r="B7" s="5" t="s">
        <v>100</v>
      </c>
    </row>
    <row r="8" spans="1:13" x14ac:dyDescent="0.35">
      <c r="A8" s="9" t="s">
        <v>85</v>
      </c>
      <c r="B8" s="6">
        <v>17574003</v>
      </c>
    </row>
    <row r="9" spans="1:13" x14ac:dyDescent="0.35">
      <c r="A9" s="9" t="s">
        <v>86</v>
      </c>
      <c r="B9" s="7">
        <v>2017</v>
      </c>
    </row>
    <row r="10" spans="1:13" x14ac:dyDescent="0.35">
      <c r="A10" s="9" t="s">
        <v>87</v>
      </c>
      <c r="B10" s="6" t="s">
        <v>101</v>
      </c>
    </row>
    <row r="11" spans="1:13" x14ac:dyDescent="0.35">
      <c r="A11" s="9" t="s">
        <v>88</v>
      </c>
      <c r="B11" s="7">
        <v>1</v>
      </c>
      <c r="C11" s="7">
        <v>2</v>
      </c>
      <c r="D11" s="7">
        <v>3</v>
      </c>
      <c r="E11" s="7"/>
      <c r="F11" s="7"/>
      <c r="G11" s="7"/>
      <c r="H11" s="7"/>
      <c r="I11" s="7"/>
      <c r="J11" s="7"/>
      <c r="K11" s="7"/>
      <c r="L11" s="7"/>
      <c r="M11" s="7"/>
    </row>
    <row r="12" spans="1:13" x14ac:dyDescent="0.35">
      <c r="A12" s="9" t="s">
        <v>89</v>
      </c>
      <c r="B12" s="4" t="s">
        <v>102</v>
      </c>
      <c r="C12" s="4" t="s">
        <v>103</v>
      </c>
      <c r="D12" s="4" t="s">
        <v>104</v>
      </c>
      <c r="E12" s="4"/>
      <c r="F12" s="4"/>
      <c r="G12" s="4"/>
      <c r="H12" s="4"/>
      <c r="I12" s="4"/>
      <c r="J12" s="4"/>
      <c r="K12" s="4"/>
      <c r="L12" s="4"/>
      <c r="M12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01"/>
  <sheetViews>
    <sheetView workbookViewId="0">
      <selection activeCell="A2" sqref="A2"/>
    </sheetView>
  </sheetViews>
  <sheetFormatPr defaultRowHeight="14.5" x14ac:dyDescent="0.35"/>
  <cols>
    <col min="1" max="1" width="37.81640625" customWidth="1"/>
    <col min="3" max="3" width="10.81640625" bestFit="1" customWidth="1"/>
    <col min="6" max="6" width="69" customWidth="1"/>
    <col min="7" max="7" width="43.6328125" bestFit="1" customWidth="1"/>
  </cols>
  <sheetData>
    <row r="1" spans="1:7" x14ac:dyDescent="0.35">
      <c r="A1" s="9" t="s">
        <v>0</v>
      </c>
      <c r="B1" s="9" t="s">
        <v>4</v>
      </c>
      <c r="C1" s="9" t="s">
        <v>3</v>
      </c>
      <c r="D1" s="9" t="s">
        <v>1</v>
      </c>
      <c r="E1" s="9" t="s">
        <v>2</v>
      </c>
      <c r="F1" s="9" t="s">
        <v>5</v>
      </c>
    </row>
    <row r="2" spans="1:7" x14ac:dyDescent="0.35">
      <c r="A2" s="4"/>
      <c r="B2" s="5" t="s">
        <v>12</v>
      </c>
      <c r="C2" s="4"/>
      <c r="D2" s="5"/>
      <c r="E2" s="4"/>
      <c r="F2" s="5"/>
      <c r="G2" s="16"/>
    </row>
    <row r="3" spans="1:7" x14ac:dyDescent="0.35">
      <c r="A3" s="4"/>
      <c r="B3" s="5" t="s">
        <v>12</v>
      </c>
      <c r="C3" s="4"/>
      <c r="D3" s="5"/>
      <c r="E3" s="4"/>
      <c r="F3" s="5"/>
    </row>
    <row r="4" spans="1:7" x14ac:dyDescent="0.35">
      <c r="A4" s="4"/>
      <c r="B4" s="5" t="s">
        <v>12</v>
      </c>
      <c r="C4" s="4"/>
      <c r="D4" s="5"/>
      <c r="E4" s="4"/>
      <c r="F4" s="5"/>
    </row>
    <row r="5" spans="1:7" x14ac:dyDescent="0.35">
      <c r="A5" s="4"/>
      <c r="B5" s="5" t="s">
        <v>12</v>
      </c>
      <c r="C5" s="4"/>
      <c r="D5" s="5"/>
      <c r="E5" s="4"/>
      <c r="F5" s="5"/>
    </row>
    <row r="6" spans="1:7" x14ac:dyDescent="0.35">
      <c r="A6" s="4"/>
      <c r="B6" s="5" t="s">
        <v>12</v>
      </c>
      <c r="C6" s="4"/>
      <c r="D6" s="5"/>
      <c r="E6" s="4"/>
      <c r="F6" s="5"/>
      <c r="G6" s="16"/>
    </row>
    <row r="7" spans="1:7" x14ac:dyDescent="0.35">
      <c r="A7" s="4"/>
      <c r="B7" s="5" t="s">
        <v>12</v>
      </c>
      <c r="C7" s="4"/>
      <c r="D7" s="5"/>
      <c r="E7" s="4"/>
      <c r="F7" s="5"/>
      <c r="G7" s="16"/>
    </row>
    <row r="8" spans="1:7" x14ac:dyDescent="0.35">
      <c r="A8" s="4"/>
      <c r="B8" s="5" t="s">
        <v>12</v>
      </c>
      <c r="C8" s="4"/>
      <c r="D8" s="5"/>
      <c r="E8" s="4"/>
      <c r="F8" s="5"/>
      <c r="G8" s="16"/>
    </row>
    <row r="9" spans="1:7" x14ac:dyDescent="0.35">
      <c r="A9" s="4"/>
      <c r="B9" s="5" t="s">
        <v>12</v>
      </c>
      <c r="C9" s="4"/>
      <c r="D9" s="5"/>
      <c r="E9" s="4"/>
      <c r="F9" s="5"/>
      <c r="G9" s="17"/>
    </row>
    <row r="10" spans="1:7" x14ac:dyDescent="0.35">
      <c r="A10" s="4"/>
      <c r="B10" s="5" t="s">
        <v>12</v>
      </c>
      <c r="C10" s="22"/>
      <c r="D10" s="21"/>
      <c r="E10" s="4"/>
      <c r="F10" s="5"/>
    </row>
    <row r="11" spans="1:7" x14ac:dyDescent="0.35">
      <c r="A11" s="4"/>
      <c r="B11" s="5" t="s">
        <v>12</v>
      </c>
      <c r="C11" s="22"/>
      <c r="D11" s="21"/>
      <c r="E11" s="4"/>
      <c r="F11" s="5"/>
    </row>
    <row r="12" spans="1:7" x14ac:dyDescent="0.35">
      <c r="A12" s="4"/>
      <c r="B12" s="5" t="s">
        <v>12</v>
      </c>
      <c r="C12" s="4"/>
      <c r="D12" s="5"/>
      <c r="E12" s="4"/>
      <c r="F12" s="5"/>
    </row>
    <row r="13" spans="1:7" x14ac:dyDescent="0.35">
      <c r="A13" s="4"/>
      <c r="B13" s="5" t="s">
        <v>12</v>
      </c>
      <c r="C13" s="4"/>
      <c r="D13" s="5"/>
      <c r="E13" s="4"/>
      <c r="F13" s="5"/>
    </row>
    <row r="14" spans="1:7" x14ac:dyDescent="0.35">
      <c r="A14" s="4"/>
      <c r="B14" s="5" t="s">
        <v>12</v>
      </c>
      <c r="C14" s="4"/>
      <c r="D14" s="5"/>
      <c r="E14" s="4"/>
      <c r="F14" s="5"/>
    </row>
    <row r="15" spans="1:7" x14ac:dyDescent="0.35">
      <c r="A15" s="4"/>
      <c r="B15" s="5" t="s">
        <v>12</v>
      </c>
      <c r="C15" s="4"/>
      <c r="D15" s="5"/>
      <c r="E15" s="4"/>
      <c r="F15" s="5"/>
    </row>
    <row r="16" spans="1:7" x14ac:dyDescent="0.35">
      <c r="A16" s="4"/>
      <c r="B16" s="5" t="s">
        <v>12</v>
      </c>
      <c r="C16" s="4"/>
      <c r="D16" s="5"/>
      <c r="E16" s="4"/>
      <c r="F16" s="5"/>
    </row>
    <row r="17" spans="1:6" x14ac:dyDescent="0.35">
      <c r="A17" s="4"/>
      <c r="B17" s="5" t="s">
        <v>12</v>
      </c>
      <c r="C17" s="4"/>
      <c r="D17" s="5"/>
      <c r="E17" s="4"/>
      <c r="F17" s="5"/>
    </row>
    <row r="18" spans="1:6" x14ac:dyDescent="0.35">
      <c r="A18" s="4"/>
      <c r="B18" s="5" t="s">
        <v>12</v>
      </c>
      <c r="C18" s="4"/>
      <c r="D18" s="5"/>
      <c r="E18" s="4"/>
      <c r="F18" s="5"/>
    </row>
    <row r="19" spans="1:6" x14ac:dyDescent="0.35">
      <c r="A19" s="4"/>
      <c r="B19" s="5" t="s">
        <v>12</v>
      </c>
      <c r="C19" s="4"/>
      <c r="D19" s="5"/>
      <c r="E19" s="4"/>
      <c r="F19" s="5"/>
    </row>
    <row r="20" spans="1:6" x14ac:dyDescent="0.35">
      <c r="A20" s="4"/>
      <c r="B20" s="5" t="s">
        <v>12</v>
      </c>
      <c r="C20" s="4"/>
      <c r="D20" s="5"/>
      <c r="E20" s="4"/>
      <c r="F20" s="5"/>
    </row>
    <row r="21" spans="1:6" x14ac:dyDescent="0.35">
      <c r="A21" s="4"/>
      <c r="B21" s="5" t="s">
        <v>12</v>
      </c>
      <c r="C21" s="4"/>
      <c r="D21" s="5"/>
      <c r="E21" s="4"/>
      <c r="F21" s="5"/>
    </row>
    <row r="22" spans="1:6" x14ac:dyDescent="0.35">
      <c r="A22" s="4"/>
      <c r="B22" s="5" t="s">
        <v>12</v>
      </c>
      <c r="C22" s="4"/>
      <c r="D22" s="5"/>
      <c r="E22" s="4"/>
      <c r="F22" s="5"/>
    </row>
    <row r="23" spans="1:6" x14ac:dyDescent="0.35">
      <c r="A23" s="4"/>
      <c r="B23" s="5" t="s">
        <v>12</v>
      </c>
      <c r="C23" s="4"/>
      <c r="D23" s="5"/>
      <c r="E23" s="4"/>
      <c r="F23" s="5"/>
    </row>
    <row r="24" spans="1:6" x14ac:dyDescent="0.35">
      <c r="A24" s="4"/>
      <c r="B24" s="5" t="s">
        <v>12</v>
      </c>
      <c r="C24" s="4"/>
      <c r="D24" s="5"/>
      <c r="E24" s="4"/>
      <c r="F24" s="5"/>
    </row>
    <row r="25" spans="1:6" x14ac:dyDescent="0.35">
      <c r="A25" s="4"/>
      <c r="B25" s="5" t="s">
        <v>12</v>
      </c>
      <c r="C25" s="4"/>
      <c r="D25" s="5"/>
      <c r="E25" s="4"/>
      <c r="F25" s="5"/>
    </row>
    <row r="26" spans="1:6" x14ac:dyDescent="0.35">
      <c r="A26" s="4"/>
      <c r="B26" s="5" t="s">
        <v>12</v>
      </c>
      <c r="C26" s="4"/>
      <c r="D26" s="5"/>
      <c r="E26" s="4"/>
      <c r="F26" s="5"/>
    </row>
    <row r="27" spans="1:6" x14ac:dyDescent="0.35">
      <c r="A27" s="4"/>
      <c r="B27" s="5" t="s">
        <v>12</v>
      </c>
      <c r="C27" s="4"/>
      <c r="D27" s="5"/>
      <c r="E27" s="4"/>
      <c r="F27" s="5"/>
    </row>
    <row r="28" spans="1:6" x14ac:dyDescent="0.35">
      <c r="A28" s="4"/>
      <c r="B28" s="5" t="s">
        <v>12</v>
      </c>
      <c r="C28" s="4"/>
      <c r="D28" s="5"/>
      <c r="E28" s="4"/>
      <c r="F28" s="5"/>
    </row>
    <row r="29" spans="1:6" x14ac:dyDescent="0.35">
      <c r="A29" s="4"/>
      <c r="B29" s="5" t="s">
        <v>12</v>
      </c>
      <c r="C29" s="4"/>
      <c r="D29" s="5"/>
      <c r="E29" s="4"/>
      <c r="F29" s="5"/>
    </row>
    <row r="30" spans="1:6" x14ac:dyDescent="0.35">
      <c r="A30" s="4"/>
      <c r="B30" s="5" t="s">
        <v>12</v>
      </c>
      <c r="C30" s="4"/>
      <c r="D30" s="5"/>
      <c r="E30" s="4"/>
      <c r="F30" s="5"/>
    </row>
    <row r="31" spans="1:6" x14ac:dyDescent="0.35">
      <c r="A31" s="4"/>
      <c r="B31" s="5" t="s">
        <v>12</v>
      </c>
      <c r="C31" s="4"/>
      <c r="D31" s="5"/>
      <c r="E31" s="4"/>
      <c r="F31" s="5"/>
    </row>
    <row r="32" spans="1:6" x14ac:dyDescent="0.35">
      <c r="A32" s="4"/>
      <c r="B32" s="5" t="s">
        <v>12</v>
      </c>
      <c r="C32" s="4"/>
      <c r="D32" s="5"/>
      <c r="E32" s="4"/>
      <c r="F32" s="5"/>
    </row>
    <row r="33" spans="1:6" x14ac:dyDescent="0.35">
      <c r="A33" s="4"/>
      <c r="B33" s="5" t="s">
        <v>12</v>
      </c>
      <c r="C33" s="4"/>
      <c r="D33" s="5"/>
      <c r="E33" s="4"/>
      <c r="F33" s="5"/>
    </row>
    <row r="34" spans="1:6" x14ac:dyDescent="0.35">
      <c r="A34" s="4"/>
      <c r="B34" s="5" t="s">
        <v>12</v>
      </c>
      <c r="C34" s="4"/>
      <c r="D34" s="5"/>
      <c r="E34" s="4"/>
      <c r="F34" s="5"/>
    </row>
    <row r="35" spans="1:6" x14ac:dyDescent="0.35">
      <c r="A35" s="4"/>
      <c r="B35" s="5" t="s">
        <v>12</v>
      </c>
      <c r="C35" s="4"/>
      <c r="D35" s="5"/>
      <c r="E35" s="4"/>
      <c r="F35" s="5"/>
    </row>
    <row r="36" spans="1:6" x14ac:dyDescent="0.35">
      <c r="A36" s="4"/>
      <c r="B36" s="5" t="s">
        <v>12</v>
      </c>
      <c r="C36" s="4"/>
      <c r="D36" s="5"/>
      <c r="E36" s="4"/>
      <c r="F36" s="5"/>
    </row>
    <row r="37" spans="1:6" x14ac:dyDescent="0.35">
      <c r="A37" s="4"/>
      <c r="B37" s="5" t="s">
        <v>12</v>
      </c>
      <c r="C37" s="4"/>
      <c r="D37" s="5"/>
      <c r="E37" s="4"/>
      <c r="F37" s="5"/>
    </row>
    <row r="38" spans="1:6" x14ac:dyDescent="0.35">
      <c r="A38" s="4"/>
      <c r="B38" s="5" t="s">
        <v>12</v>
      </c>
      <c r="C38" s="4"/>
      <c r="D38" s="5"/>
      <c r="E38" s="4"/>
      <c r="F38" s="5"/>
    </row>
    <row r="39" spans="1:6" x14ac:dyDescent="0.35">
      <c r="A39" s="4"/>
      <c r="B39" s="5" t="s">
        <v>12</v>
      </c>
      <c r="C39" s="4"/>
      <c r="D39" s="5"/>
      <c r="E39" s="4"/>
      <c r="F39" s="5"/>
    </row>
    <row r="40" spans="1:6" x14ac:dyDescent="0.35">
      <c r="A40" s="4"/>
      <c r="B40" s="5" t="s">
        <v>12</v>
      </c>
      <c r="C40" s="4"/>
      <c r="D40" s="5"/>
      <c r="E40" s="4"/>
      <c r="F40" s="5"/>
    </row>
    <row r="41" spans="1:6" x14ac:dyDescent="0.35">
      <c r="A41" s="4"/>
      <c r="B41" s="5" t="s">
        <v>12</v>
      </c>
      <c r="C41" s="4"/>
      <c r="D41" s="5"/>
      <c r="E41" s="4"/>
      <c r="F41" s="5"/>
    </row>
    <row r="42" spans="1:6" x14ac:dyDescent="0.35">
      <c r="A42" s="4"/>
      <c r="B42" s="5" t="s">
        <v>12</v>
      </c>
      <c r="C42" s="4"/>
      <c r="D42" s="5"/>
      <c r="E42" s="4"/>
      <c r="F42" s="5"/>
    </row>
    <row r="43" spans="1:6" x14ac:dyDescent="0.35">
      <c r="A43" s="4"/>
      <c r="B43" s="5" t="s">
        <v>12</v>
      </c>
      <c r="C43" s="4"/>
      <c r="D43" s="5"/>
      <c r="E43" s="4"/>
      <c r="F43" s="5"/>
    </row>
    <row r="44" spans="1:6" x14ac:dyDescent="0.35">
      <c r="A44" s="4"/>
      <c r="B44" s="5" t="s">
        <v>12</v>
      </c>
      <c r="C44" s="4"/>
      <c r="D44" s="5"/>
      <c r="E44" s="4"/>
      <c r="F44" s="5"/>
    </row>
    <row r="45" spans="1:6" x14ac:dyDescent="0.35">
      <c r="A45" s="4"/>
      <c r="B45" s="5" t="s">
        <v>12</v>
      </c>
      <c r="C45" s="4"/>
      <c r="D45" s="5"/>
      <c r="E45" s="4"/>
      <c r="F45" s="5"/>
    </row>
    <row r="46" spans="1:6" x14ac:dyDescent="0.35">
      <c r="A46" s="4"/>
      <c r="B46" s="5" t="s">
        <v>12</v>
      </c>
      <c r="C46" s="4"/>
      <c r="D46" s="5"/>
      <c r="E46" s="4"/>
      <c r="F46" s="5"/>
    </row>
    <row r="47" spans="1:6" x14ac:dyDescent="0.35">
      <c r="A47" s="4"/>
      <c r="B47" s="5" t="s">
        <v>12</v>
      </c>
      <c r="C47" s="4"/>
      <c r="D47" s="5"/>
      <c r="E47" s="4"/>
      <c r="F47" s="5"/>
    </row>
    <row r="48" spans="1:6" x14ac:dyDescent="0.35">
      <c r="A48" s="4"/>
      <c r="B48" s="5" t="s">
        <v>12</v>
      </c>
      <c r="C48" s="4"/>
      <c r="D48" s="5"/>
      <c r="E48" s="4"/>
      <c r="F48" s="5"/>
    </row>
    <row r="49" spans="1:6" x14ac:dyDescent="0.35">
      <c r="A49" s="4"/>
      <c r="B49" s="5" t="s">
        <v>12</v>
      </c>
      <c r="C49" s="4"/>
      <c r="D49" s="5"/>
      <c r="E49" s="4"/>
      <c r="F49" s="5"/>
    </row>
    <row r="50" spans="1:6" x14ac:dyDescent="0.35">
      <c r="A50" s="4"/>
      <c r="B50" s="5" t="s">
        <v>12</v>
      </c>
      <c r="C50" s="4"/>
      <c r="D50" s="5"/>
      <c r="E50" s="4"/>
      <c r="F50" s="5"/>
    </row>
    <row r="51" spans="1:6" x14ac:dyDescent="0.35">
      <c r="A51" s="4"/>
      <c r="B51" s="5" t="s">
        <v>12</v>
      </c>
      <c r="C51" s="4"/>
      <c r="D51" s="5"/>
      <c r="E51" s="4"/>
      <c r="F51" s="5"/>
    </row>
    <row r="52" spans="1:6" x14ac:dyDescent="0.35">
      <c r="A52" s="4"/>
      <c r="B52" s="5" t="s">
        <v>12</v>
      </c>
      <c r="C52" s="4"/>
      <c r="D52" s="5"/>
      <c r="E52" s="4"/>
      <c r="F52" s="5"/>
    </row>
    <row r="53" spans="1:6" x14ac:dyDescent="0.35">
      <c r="A53" s="4"/>
      <c r="B53" s="5" t="s">
        <v>12</v>
      </c>
      <c r="C53" s="4"/>
      <c r="D53" s="5"/>
      <c r="E53" s="4"/>
      <c r="F53" s="5"/>
    </row>
    <row r="54" spans="1:6" x14ac:dyDescent="0.35">
      <c r="A54" s="4"/>
      <c r="B54" s="5" t="s">
        <v>12</v>
      </c>
      <c r="C54" s="4"/>
      <c r="D54" s="5"/>
      <c r="E54" s="4"/>
      <c r="F54" s="5"/>
    </row>
    <row r="55" spans="1:6" x14ac:dyDescent="0.35">
      <c r="A55" s="4"/>
      <c r="B55" s="5" t="s">
        <v>12</v>
      </c>
      <c r="C55" s="4"/>
      <c r="D55" s="5"/>
      <c r="E55" s="4"/>
      <c r="F55" s="5"/>
    </row>
    <row r="56" spans="1:6" x14ac:dyDescent="0.35">
      <c r="A56" s="4"/>
      <c r="B56" s="5" t="s">
        <v>12</v>
      </c>
      <c r="C56" s="4"/>
      <c r="D56" s="5"/>
      <c r="E56" s="4"/>
      <c r="F56" s="5"/>
    </row>
    <row r="57" spans="1:6" x14ac:dyDescent="0.35">
      <c r="A57" s="4"/>
      <c r="B57" s="5" t="s">
        <v>12</v>
      </c>
      <c r="C57" s="4"/>
      <c r="D57" s="5"/>
      <c r="E57" s="4"/>
      <c r="F57" s="5"/>
    </row>
    <row r="58" spans="1:6" x14ac:dyDescent="0.35">
      <c r="A58" s="4"/>
      <c r="B58" s="5" t="s">
        <v>12</v>
      </c>
      <c r="C58" s="4"/>
      <c r="D58" s="5"/>
      <c r="E58" s="4"/>
      <c r="F58" s="5"/>
    </row>
    <row r="59" spans="1:6" x14ac:dyDescent="0.35">
      <c r="A59" s="4"/>
      <c r="B59" s="5" t="s">
        <v>12</v>
      </c>
      <c r="C59" s="4"/>
      <c r="D59" s="5"/>
      <c r="E59" s="4"/>
      <c r="F59" s="5"/>
    </row>
    <row r="60" spans="1:6" x14ac:dyDescent="0.35">
      <c r="A60" s="4"/>
      <c r="B60" s="5" t="s">
        <v>12</v>
      </c>
      <c r="C60" s="4"/>
      <c r="D60" s="5"/>
      <c r="E60" s="4"/>
      <c r="F60" s="5"/>
    </row>
    <row r="61" spans="1:6" x14ac:dyDescent="0.35">
      <c r="A61" s="4"/>
      <c r="B61" s="5" t="s">
        <v>12</v>
      </c>
      <c r="C61" s="4"/>
      <c r="D61" s="5"/>
      <c r="E61" s="4"/>
      <c r="F61" s="5"/>
    </row>
    <row r="62" spans="1:6" x14ac:dyDescent="0.35">
      <c r="A62" s="4"/>
      <c r="B62" s="5" t="s">
        <v>12</v>
      </c>
      <c r="C62" s="4"/>
      <c r="D62" s="5"/>
      <c r="E62" s="4"/>
      <c r="F62" s="5"/>
    </row>
    <row r="63" spans="1:6" x14ac:dyDescent="0.35">
      <c r="A63" s="4"/>
      <c r="B63" s="5" t="s">
        <v>12</v>
      </c>
      <c r="C63" s="4"/>
      <c r="D63" s="5"/>
      <c r="E63" s="4"/>
      <c r="F63" s="5"/>
    </row>
    <row r="64" spans="1:6" x14ac:dyDescent="0.35">
      <c r="A64" s="4"/>
      <c r="B64" s="5" t="s">
        <v>12</v>
      </c>
      <c r="C64" s="4"/>
      <c r="D64" s="5"/>
      <c r="E64" s="4"/>
      <c r="F64" s="5"/>
    </row>
    <row r="65" spans="1:6" x14ac:dyDescent="0.35">
      <c r="A65" s="4"/>
      <c r="B65" s="5" t="s">
        <v>12</v>
      </c>
      <c r="C65" s="4"/>
      <c r="D65" s="5"/>
      <c r="E65" s="4"/>
      <c r="F65" s="5"/>
    </row>
    <row r="66" spans="1:6" x14ac:dyDescent="0.35">
      <c r="A66" s="4"/>
      <c r="B66" s="5" t="s">
        <v>12</v>
      </c>
      <c r="C66" s="4"/>
      <c r="D66" s="5"/>
      <c r="E66" s="4"/>
      <c r="F66" s="5"/>
    </row>
    <row r="67" spans="1:6" x14ac:dyDescent="0.35">
      <c r="A67" s="4"/>
      <c r="B67" s="5" t="s">
        <v>12</v>
      </c>
      <c r="C67" s="4"/>
      <c r="D67" s="5"/>
      <c r="E67" s="4"/>
      <c r="F67" s="5"/>
    </row>
    <row r="68" spans="1:6" x14ac:dyDescent="0.35">
      <c r="A68" s="4"/>
      <c r="B68" s="5" t="s">
        <v>12</v>
      </c>
      <c r="C68" s="4"/>
      <c r="D68" s="5"/>
      <c r="E68" s="4"/>
      <c r="F68" s="5"/>
    </row>
    <row r="69" spans="1:6" x14ac:dyDescent="0.35">
      <c r="A69" s="4"/>
      <c r="B69" s="5" t="s">
        <v>12</v>
      </c>
      <c r="C69" s="4"/>
      <c r="D69" s="5"/>
      <c r="E69" s="4"/>
      <c r="F69" s="5"/>
    </row>
    <row r="70" spans="1:6" x14ac:dyDescent="0.35">
      <c r="A70" s="4"/>
      <c r="B70" s="5" t="s">
        <v>12</v>
      </c>
      <c r="C70" s="4"/>
      <c r="D70" s="5"/>
      <c r="E70" s="4"/>
      <c r="F70" s="5"/>
    </row>
    <row r="71" spans="1:6" x14ac:dyDescent="0.35">
      <c r="A71" s="4"/>
      <c r="B71" s="5" t="s">
        <v>12</v>
      </c>
      <c r="C71" s="4"/>
      <c r="D71" s="5"/>
      <c r="E71" s="4"/>
      <c r="F71" s="5"/>
    </row>
    <row r="72" spans="1:6" x14ac:dyDescent="0.35">
      <c r="A72" s="4"/>
      <c r="B72" s="5" t="s">
        <v>12</v>
      </c>
      <c r="C72" s="4"/>
      <c r="D72" s="5"/>
      <c r="E72" s="4"/>
      <c r="F72" s="5"/>
    </row>
    <row r="73" spans="1:6" x14ac:dyDescent="0.35">
      <c r="A73" s="4"/>
      <c r="B73" s="5" t="s">
        <v>12</v>
      </c>
      <c r="C73" s="4"/>
      <c r="D73" s="5"/>
      <c r="E73" s="4"/>
      <c r="F73" s="5"/>
    </row>
    <row r="74" spans="1:6" x14ac:dyDescent="0.35">
      <c r="A74" s="4"/>
      <c r="B74" s="5" t="s">
        <v>12</v>
      </c>
      <c r="C74" s="4"/>
      <c r="D74" s="5"/>
      <c r="E74" s="4"/>
      <c r="F74" s="5"/>
    </row>
    <row r="75" spans="1:6" x14ac:dyDescent="0.35">
      <c r="A75" s="4"/>
      <c r="B75" s="5" t="s">
        <v>12</v>
      </c>
      <c r="C75" s="4"/>
      <c r="D75" s="5"/>
      <c r="E75" s="4"/>
      <c r="F75" s="5"/>
    </row>
    <row r="76" spans="1:6" x14ac:dyDescent="0.35">
      <c r="A76" s="4"/>
      <c r="B76" s="5" t="s">
        <v>12</v>
      </c>
      <c r="C76" s="4"/>
      <c r="D76" s="5"/>
      <c r="E76" s="4"/>
      <c r="F76" s="5"/>
    </row>
    <row r="77" spans="1:6" x14ac:dyDescent="0.35">
      <c r="A77" s="4"/>
      <c r="B77" s="5" t="s">
        <v>12</v>
      </c>
      <c r="C77" s="4"/>
      <c r="D77" s="5"/>
      <c r="E77" s="4"/>
      <c r="F77" s="5"/>
    </row>
    <row r="78" spans="1:6" x14ac:dyDescent="0.35">
      <c r="A78" s="4"/>
      <c r="B78" s="5" t="s">
        <v>12</v>
      </c>
      <c r="C78" s="4"/>
      <c r="D78" s="5"/>
      <c r="E78" s="4"/>
      <c r="F78" s="5"/>
    </row>
    <row r="79" spans="1:6" x14ac:dyDescent="0.35">
      <c r="A79" s="4"/>
      <c r="B79" s="5" t="s">
        <v>12</v>
      </c>
      <c r="C79" s="4"/>
      <c r="D79" s="5"/>
      <c r="E79" s="4"/>
      <c r="F79" s="5"/>
    </row>
    <row r="80" spans="1:6" x14ac:dyDescent="0.35">
      <c r="A80" s="4"/>
      <c r="B80" s="5" t="s">
        <v>12</v>
      </c>
      <c r="C80" s="4"/>
      <c r="D80" s="5"/>
      <c r="E80" s="4"/>
      <c r="F80" s="5"/>
    </row>
    <row r="81" spans="1:6" x14ac:dyDescent="0.35">
      <c r="A81" s="4"/>
      <c r="B81" s="5" t="s">
        <v>12</v>
      </c>
      <c r="C81" s="4"/>
      <c r="D81" s="5"/>
      <c r="E81" s="4"/>
      <c r="F81" s="5"/>
    </row>
    <row r="82" spans="1:6" x14ac:dyDescent="0.35">
      <c r="A82" s="4"/>
      <c r="B82" s="5" t="s">
        <v>12</v>
      </c>
      <c r="C82" s="4"/>
      <c r="D82" s="5"/>
      <c r="E82" s="4"/>
      <c r="F82" s="5"/>
    </row>
    <row r="83" spans="1:6" x14ac:dyDescent="0.35">
      <c r="A83" s="4"/>
      <c r="B83" s="5" t="s">
        <v>12</v>
      </c>
      <c r="C83" s="4"/>
      <c r="D83" s="5"/>
      <c r="E83" s="4"/>
      <c r="F83" s="5"/>
    </row>
    <row r="84" spans="1:6" x14ac:dyDescent="0.35">
      <c r="A84" s="4"/>
      <c r="B84" s="5" t="s">
        <v>12</v>
      </c>
      <c r="C84" s="4"/>
      <c r="D84" s="5"/>
      <c r="E84" s="4"/>
      <c r="F84" s="5"/>
    </row>
    <row r="85" spans="1:6" x14ac:dyDescent="0.35">
      <c r="A85" s="4"/>
      <c r="B85" s="5" t="s">
        <v>12</v>
      </c>
      <c r="C85" s="4"/>
      <c r="D85" s="5"/>
      <c r="E85" s="4"/>
      <c r="F85" s="5"/>
    </row>
    <row r="86" spans="1:6" x14ac:dyDescent="0.35">
      <c r="A86" s="4"/>
      <c r="B86" s="5" t="s">
        <v>12</v>
      </c>
      <c r="C86" s="4"/>
      <c r="D86" s="5"/>
      <c r="E86" s="4"/>
      <c r="F86" s="5"/>
    </row>
    <row r="87" spans="1:6" x14ac:dyDescent="0.35">
      <c r="A87" s="4"/>
      <c r="B87" s="5" t="s">
        <v>12</v>
      </c>
      <c r="C87" s="4"/>
      <c r="D87" s="5"/>
      <c r="E87" s="4"/>
      <c r="F87" s="5"/>
    </row>
    <row r="88" spans="1:6" x14ac:dyDescent="0.35">
      <c r="A88" s="4"/>
      <c r="B88" s="5" t="s">
        <v>12</v>
      </c>
      <c r="C88" s="4"/>
      <c r="D88" s="5"/>
      <c r="E88" s="4"/>
      <c r="F88" s="5"/>
    </row>
    <row r="89" spans="1:6" x14ac:dyDescent="0.35">
      <c r="A89" s="4"/>
      <c r="B89" s="5" t="s">
        <v>12</v>
      </c>
      <c r="C89" s="4"/>
      <c r="D89" s="5"/>
      <c r="E89" s="4"/>
      <c r="F89" s="5"/>
    </row>
    <row r="90" spans="1:6" x14ac:dyDescent="0.35">
      <c r="A90" s="4"/>
      <c r="B90" s="5" t="s">
        <v>12</v>
      </c>
      <c r="C90" s="4"/>
      <c r="D90" s="5"/>
      <c r="E90" s="4"/>
      <c r="F90" s="5"/>
    </row>
    <row r="91" spans="1:6" x14ac:dyDescent="0.35">
      <c r="A91" s="4"/>
      <c r="B91" s="5" t="s">
        <v>12</v>
      </c>
      <c r="C91" s="4"/>
      <c r="D91" s="5"/>
      <c r="E91" s="4"/>
      <c r="F91" s="5"/>
    </row>
    <row r="92" spans="1:6" x14ac:dyDescent="0.35">
      <c r="A92" s="4"/>
      <c r="B92" s="5" t="s">
        <v>12</v>
      </c>
      <c r="C92" s="4"/>
      <c r="D92" s="5"/>
      <c r="E92" s="4"/>
      <c r="F92" s="5"/>
    </row>
    <row r="93" spans="1:6" x14ac:dyDescent="0.35">
      <c r="A93" s="4"/>
      <c r="B93" s="5" t="s">
        <v>12</v>
      </c>
      <c r="C93" s="4"/>
      <c r="D93" s="5"/>
      <c r="E93" s="4"/>
      <c r="F93" s="5"/>
    </row>
    <row r="94" spans="1:6" x14ac:dyDescent="0.35">
      <c r="A94" s="4"/>
      <c r="B94" s="5" t="s">
        <v>12</v>
      </c>
      <c r="C94" s="4"/>
      <c r="D94" s="5"/>
      <c r="E94" s="4"/>
      <c r="F94" s="5"/>
    </row>
    <row r="95" spans="1:6" x14ac:dyDescent="0.35">
      <c r="A95" s="4"/>
      <c r="B95" s="5" t="s">
        <v>12</v>
      </c>
      <c r="C95" s="4"/>
      <c r="D95" s="5"/>
      <c r="E95" s="4"/>
      <c r="F95" s="5"/>
    </row>
    <row r="96" spans="1:6" x14ac:dyDescent="0.35">
      <c r="A96" s="4"/>
      <c r="B96" s="5" t="s">
        <v>12</v>
      </c>
      <c r="C96" s="4"/>
      <c r="D96" s="5"/>
      <c r="E96" s="4"/>
      <c r="F96" s="5"/>
    </row>
    <row r="97" spans="1:6" x14ac:dyDescent="0.35">
      <c r="A97" s="4"/>
      <c r="B97" s="5" t="s">
        <v>12</v>
      </c>
      <c r="C97" s="4"/>
      <c r="D97" s="5"/>
      <c r="E97" s="4"/>
      <c r="F97" s="5"/>
    </row>
    <row r="98" spans="1:6" x14ac:dyDescent="0.35">
      <c r="A98" s="4"/>
      <c r="B98" s="5" t="s">
        <v>12</v>
      </c>
      <c r="C98" s="4"/>
      <c r="D98" s="5"/>
      <c r="E98" s="4"/>
      <c r="F98" s="5"/>
    </row>
    <row r="99" spans="1:6" x14ac:dyDescent="0.35">
      <c r="A99" s="4"/>
      <c r="B99" s="5" t="s">
        <v>12</v>
      </c>
      <c r="C99" s="4"/>
      <c r="D99" s="5"/>
      <c r="E99" s="4"/>
      <c r="F99" s="5"/>
    </row>
    <row r="100" spans="1:6" x14ac:dyDescent="0.35">
      <c r="A100" s="4"/>
      <c r="B100" s="5" t="s">
        <v>12</v>
      </c>
      <c r="C100" s="4"/>
      <c r="D100" s="5"/>
      <c r="E100" s="4"/>
      <c r="F100" s="5"/>
    </row>
    <row r="101" spans="1:6" x14ac:dyDescent="0.35">
      <c r="A101" s="4"/>
      <c r="B101" s="5" t="s">
        <v>12</v>
      </c>
      <c r="C101" s="4"/>
      <c r="D101" s="5"/>
      <c r="E101" s="4"/>
      <c r="F101" s="5"/>
    </row>
  </sheetData>
  <conditionalFormatting sqref="C2:C101">
    <cfRule type="expression" dxfId="12" priority="7">
      <formula>AND(OR(C2 &lt; D2, C2 &gt; E2, C2 = none), A2 &lt;&gt; none)</formula>
    </cfRule>
  </conditionalFormatting>
  <conditionalFormatting sqref="C7">
    <cfRule type="expression" dxfId="11" priority="6">
      <formula>AND(OR(C7 &lt; D7, C7 &gt; E7), A7 &lt;&gt; "")</formula>
    </cfRule>
  </conditionalFormatting>
  <conditionalFormatting sqref="D2:D101">
    <cfRule type="expression" dxfId="10" priority="4">
      <formula>AND(OR(D2 &gt; E2, D2=none), A2 &lt;&gt; none)</formula>
    </cfRule>
  </conditionalFormatting>
  <conditionalFormatting sqref="E2:E101">
    <cfRule type="expression" dxfId="9" priority="2">
      <formula>AND(OR(E2 &lt; D2, E2=none), A2 &lt;&gt; none)</formula>
    </cfRule>
  </conditionalFormatting>
  <conditionalFormatting sqref="B2:B101">
    <cfRule type="expression" dxfId="8" priority="1">
      <formula>AND(B2&lt;&gt;TRUE, B2&lt;&gt;FALSE, A2&lt;&gt;none)</formula>
    </cfRule>
  </conditionalFormatting>
  <dataValidations count="1">
    <dataValidation type="list" allowBlank="1" showInputMessage="1" showErrorMessage="1" sqref="B2:B101" xr:uid="{00000000-0002-0000-0100-000000000000}">
      <formula1>boolean_selection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1"/>
  <sheetViews>
    <sheetView workbookViewId="0">
      <selection activeCell="A7" sqref="A7"/>
    </sheetView>
  </sheetViews>
  <sheetFormatPr defaultRowHeight="14.5" x14ac:dyDescent="0.35"/>
  <cols>
    <col min="1" max="1" width="18.6328125" bestFit="1" customWidth="1"/>
    <col min="6" max="6" width="13.453125" bestFit="1" customWidth="1"/>
    <col min="7" max="7" width="10.36328125" bestFit="1" customWidth="1"/>
  </cols>
  <sheetData>
    <row r="1" spans="1:13" x14ac:dyDescent="0.35">
      <c r="A1" s="25" t="s">
        <v>21</v>
      </c>
      <c r="B1" s="24"/>
      <c r="C1" t="s">
        <v>28</v>
      </c>
      <c r="F1" s="10" t="s">
        <v>30</v>
      </c>
      <c r="G1" s="2"/>
    </row>
    <row r="2" spans="1:13" x14ac:dyDescent="0.35">
      <c r="A2" s="25" t="s">
        <v>22</v>
      </c>
      <c r="B2" s="24"/>
      <c r="C2" t="s">
        <v>28</v>
      </c>
      <c r="F2" s="11" t="s">
        <v>31</v>
      </c>
    </row>
    <row r="3" spans="1:13" x14ac:dyDescent="0.35">
      <c r="A3" s="25" t="s">
        <v>23</v>
      </c>
      <c r="B3" s="24"/>
      <c r="C3" s="1" t="s">
        <v>27</v>
      </c>
      <c r="F3" s="11">
        <f>n_samples_per_iteration-n_center_repeats</f>
        <v>0</v>
      </c>
      <c r="G3" s="1" t="s">
        <v>33</v>
      </c>
    </row>
    <row r="4" spans="1:13" x14ac:dyDescent="0.35">
      <c r="A4" s="25" t="s">
        <v>24</v>
      </c>
      <c r="B4" s="24"/>
      <c r="C4" s="1" t="s">
        <v>27</v>
      </c>
      <c r="F4" s="11" t="s">
        <v>32</v>
      </c>
    </row>
    <row r="5" spans="1:13" x14ac:dyDescent="0.35">
      <c r="F5" s="11">
        <f>n_replicates*$F$3</f>
        <v>0</v>
      </c>
      <c r="G5" s="1" t="s">
        <v>34</v>
      </c>
      <c r="M5" s="14" t="s">
        <v>38</v>
      </c>
    </row>
    <row r="6" spans="1:13" x14ac:dyDescent="0.35">
      <c r="A6" s="2"/>
      <c r="B6" s="2"/>
      <c r="C6" s="2"/>
      <c r="D6" s="2"/>
      <c r="E6" s="2"/>
      <c r="F6" s="2"/>
      <c r="G6" s="2"/>
      <c r="H6" s="2"/>
      <c r="I6" s="2"/>
      <c r="J6" s="2"/>
      <c r="K6" s="2"/>
    </row>
    <row r="7" spans="1:13" x14ac:dyDescent="0.35">
      <c r="A7" s="13" t="s">
        <v>41</v>
      </c>
      <c r="B7" s="2"/>
      <c r="C7" s="2"/>
      <c r="D7" s="2"/>
      <c r="E7" s="2"/>
      <c r="F7" s="2"/>
      <c r="G7" s="2"/>
      <c r="H7" s="2"/>
      <c r="I7" s="2"/>
      <c r="J7" s="2"/>
      <c r="K7" s="2"/>
    </row>
    <row r="8" spans="1:13" x14ac:dyDescent="0.35">
      <c r="A8" s="2"/>
      <c r="B8" s="2"/>
      <c r="C8" s="2"/>
      <c r="D8" s="2"/>
      <c r="E8" s="2"/>
      <c r="F8" s="2"/>
      <c r="G8" s="2"/>
      <c r="H8" s="2"/>
      <c r="I8" s="2"/>
      <c r="J8" s="2"/>
      <c r="K8" s="2"/>
    </row>
    <row r="9" spans="1:13" x14ac:dyDescent="0.35">
      <c r="A9" s="2"/>
      <c r="B9" s="2"/>
      <c r="C9" s="2"/>
      <c r="D9" s="2"/>
      <c r="E9" s="2"/>
      <c r="F9" s="2"/>
      <c r="G9" s="2"/>
      <c r="H9" s="2"/>
      <c r="I9" s="2"/>
      <c r="J9" s="2"/>
      <c r="K9" s="2"/>
    </row>
    <row r="10" spans="1:13" x14ac:dyDescent="0.3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3" x14ac:dyDescent="0.35">
      <c r="F11" s="8"/>
    </row>
  </sheetData>
  <dataValidations disablePrompts="1" count="1">
    <dataValidation type="whole" operator="greaterThanOrEqual" allowBlank="1" showInputMessage="1" showErrorMessage="1" sqref="B3" xr:uid="{00000000-0002-0000-0200-000000000000}">
      <formula1>1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Y34"/>
  <sheetViews>
    <sheetView workbookViewId="0">
      <selection activeCell="A8" sqref="A8"/>
    </sheetView>
  </sheetViews>
  <sheetFormatPr defaultRowHeight="14.5" x14ac:dyDescent="0.35"/>
  <cols>
    <col min="1" max="1" width="18.453125" customWidth="1"/>
    <col min="3" max="3" width="8.7265625" customWidth="1"/>
  </cols>
  <sheetData>
    <row r="1" spans="1:25" x14ac:dyDescent="0.35">
      <c r="A1" s="20" t="s">
        <v>52</v>
      </c>
    </row>
    <row r="2" spans="1:25" x14ac:dyDescent="0.35">
      <c r="A2" t="s">
        <v>59</v>
      </c>
      <c r="K2" s="16" t="s">
        <v>61</v>
      </c>
    </row>
    <row r="3" spans="1:25" x14ac:dyDescent="0.35">
      <c r="A3" s="28" t="s">
        <v>50</v>
      </c>
      <c r="B3" s="28"/>
      <c r="C3" s="28"/>
      <c r="D3" s="28"/>
      <c r="E3" s="28"/>
      <c r="F3" s="28"/>
      <c r="G3" s="28"/>
      <c r="K3" s="16" t="s">
        <v>62</v>
      </c>
    </row>
    <row r="4" spans="1:25" x14ac:dyDescent="0.35">
      <c r="A4" t="s">
        <v>60</v>
      </c>
    </row>
    <row r="5" spans="1:25" x14ac:dyDescent="0.35">
      <c r="A5" t="s">
        <v>63</v>
      </c>
    </row>
    <row r="7" spans="1:25" x14ac:dyDescent="0.35">
      <c r="A7" s="13" t="s">
        <v>51</v>
      </c>
      <c r="C7" s="16"/>
    </row>
    <row r="8" spans="1:25" x14ac:dyDescent="0.35">
      <c r="A8" s="34"/>
      <c r="B8" s="35"/>
      <c r="C8" s="34"/>
      <c r="D8" s="36"/>
      <c r="E8" s="34"/>
      <c r="F8" s="36"/>
      <c r="G8" s="34"/>
      <c r="H8" s="36"/>
      <c r="I8" s="34"/>
      <c r="J8" s="36"/>
      <c r="K8" s="34"/>
      <c r="L8" s="36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spans="1:25" x14ac:dyDescent="0.35">
      <c r="A9" s="40" t="s">
        <v>98</v>
      </c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</row>
    <row r="10" spans="1:25" x14ac:dyDescent="0.35">
      <c r="A10" s="37" t="s">
        <v>12</v>
      </c>
      <c r="B10" s="38" t="s">
        <v>12</v>
      </c>
      <c r="C10" s="37" t="s">
        <v>12</v>
      </c>
      <c r="D10" s="38" t="s">
        <v>12</v>
      </c>
      <c r="E10" s="37" t="s">
        <v>12</v>
      </c>
      <c r="F10" s="38" t="s">
        <v>12</v>
      </c>
      <c r="G10" s="37" t="s">
        <v>12</v>
      </c>
      <c r="H10" s="38" t="s">
        <v>12</v>
      </c>
      <c r="I10" s="37" t="s">
        <v>12</v>
      </c>
      <c r="J10" s="38" t="s">
        <v>12</v>
      </c>
      <c r="K10" s="37" t="s">
        <v>12</v>
      </c>
      <c r="L10" s="38" t="s">
        <v>12</v>
      </c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</row>
    <row r="11" spans="1:25" x14ac:dyDescent="0.35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</row>
    <row r="12" spans="1:25" x14ac:dyDescent="0.35">
      <c r="A12" s="19" t="s">
        <v>46</v>
      </c>
      <c r="B12" s="18"/>
      <c r="C12" s="19" t="s">
        <v>55</v>
      </c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</row>
    <row r="13" spans="1:25" x14ac:dyDescent="0.35">
      <c r="A13" s="2"/>
    </row>
    <row r="14" spans="1:25" x14ac:dyDescent="0.35">
      <c r="A14" t="s">
        <v>48</v>
      </c>
      <c r="B14" t="s">
        <v>49</v>
      </c>
    </row>
    <row r="15" spans="1:25" x14ac:dyDescent="0.35">
      <c r="A15" s="26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</row>
    <row r="16" spans="1:25" x14ac:dyDescent="0.35">
      <c r="A16" s="26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</row>
    <row r="17" spans="1:25" x14ac:dyDescent="0.35">
      <c r="A17" s="26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</row>
    <row r="18" spans="1:25" x14ac:dyDescent="0.35">
      <c r="A18" s="26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</row>
    <row r="19" spans="1:25" x14ac:dyDescent="0.35">
      <c r="A19" s="26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 x14ac:dyDescent="0.35">
      <c r="A20" s="26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</row>
    <row r="21" spans="1:25" x14ac:dyDescent="0.35">
      <c r="A21" s="26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</row>
    <row r="22" spans="1:25" x14ac:dyDescent="0.35">
      <c r="A22" s="26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</row>
    <row r="23" spans="1:25" x14ac:dyDescent="0.35">
      <c r="A23" s="26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</row>
    <row r="24" spans="1:25" x14ac:dyDescent="0.35">
      <c r="A24" s="26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</row>
    <row r="25" spans="1:25" x14ac:dyDescent="0.35">
      <c r="A25" s="26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</row>
    <row r="26" spans="1:25" x14ac:dyDescent="0.35">
      <c r="A26" s="26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</row>
    <row r="27" spans="1:25" x14ac:dyDescent="0.35">
      <c r="A27" s="26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</row>
    <row r="28" spans="1:25" x14ac:dyDescent="0.35">
      <c r="A28" s="26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</row>
    <row r="29" spans="1:25" x14ac:dyDescent="0.35">
      <c r="A29" s="26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</row>
    <row r="30" spans="1:25" x14ac:dyDescent="0.35">
      <c r="A30" s="26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</row>
    <row r="31" spans="1:25" x14ac:dyDescent="0.35">
      <c r="A31" s="26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</row>
    <row r="32" spans="1:25" x14ac:dyDescent="0.35">
      <c r="A32" s="26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</row>
    <row r="33" spans="1:25" x14ac:dyDescent="0.35">
      <c r="A33" s="26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</row>
    <row r="34" spans="1:25" x14ac:dyDescent="0.35">
      <c r="A34" s="26"/>
      <c r="B34" s="27"/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</row>
  </sheetData>
  <conditionalFormatting sqref="A10:L10">
    <cfRule type="expression" dxfId="7" priority="2">
      <formula>AND(A8&lt;&gt;none, A8&lt;&gt;select_label, OR(A10=none, A10=select_label))</formula>
    </cfRule>
  </conditionalFormatting>
  <conditionalFormatting sqref="A8:L8">
    <cfRule type="expression" dxfId="6" priority="1">
      <formula>AND(OR(A8=none, A8=select_label), AND(A10&lt;&gt;none, A10&lt;&gt;select_label))</formula>
    </cfRule>
  </conditionalFormatting>
  <dataValidations count="1">
    <dataValidation type="list" allowBlank="1" showInputMessage="1" showErrorMessage="1" sqref="A10:L10" xr:uid="{7E224326-D220-4283-AC15-4B58B84DE2D0}">
      <formula1>pop_scaling_options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reateObsSheets">
                <anchor moveWithCells="1" sizeWithCells="1">
                  <from>
                    <xdr:col>8</xdr:col>
                    <xdr:colOff>57150</xdr:colOff>
                    <xdr:row>0</xdr:row>
                    <xdr:rowOff>133350</xdr:rowOff>
                  </from>
                  <to>
                    <xdr:col>9</xdr:col>
                    <xdr:colOff>584200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H16"/>
  <sheetViews>
    <sheetView workbookViewId="0">
      <selection activeCell="A7" sqref="A7"/>
    </sheetView>
  </sheetViews>
  <sheetFormatPr defaultRowHeight="14.5" x14ac:dyDescent="0.35"/>
  <cols>
    <col min="1" max="1" width="14.453125" customWidth="1"/>
    <col min="2" max="2" width="10.7265625" customWidth="1"/>
    <col min="3" max="3" width="13.08984375" bestFit="1" customWidth="1"/>
    <col min="4" max="4" width="11.08984375" customWidth="1"/>
    <col min="5" max="5" width="22.453125" customWidth="1"/>
    <col min="6" max="6" width="14.36328125" customWidth="1"/>
    <col min="7" max="7" width="10.54296875" customWidth="1"/>
    <col min="8" max="8" width="13.1796875" customWidth="1"/>
    <col min="10" max="10" width="7.7265625" customWidth="1"/>
    <col min="11" max="11" width="22.453125" customWidth="1"/>
  </cols>
  <sheetData>
    <row r="1" spans="1:8" x14ac:dyDescent="0.35">
      <c r="A1" s="16" t="s">
        <v>52</v>
      </c>
    </row>
    <row r="2" spans="1:8" x14ac:dyDescent="0.35">
      <c r="A2" s="29" t="s">
        <v>83</v>
      </c>
    </row>
    <row r="3" spans="1:8" x14ac:dyDescent="0.35">
      <c r="A3" t="s">
        <v>75</v>
      </c>
      <c r="D3" s="16" t="s">
        <v>58</v>
      </c>
    </row>
    <row r="4" spans="1:8" x14ac:dyDescent="0.35">
      <c r="A4" t="s">
        <v>82</v>
      </c>
    </row>
    <row r="6" spans="1:8" x14ac:dyDescent="0.35">
      <c r="A6" s="9" t="s">
        <v>65</v>
      </c>
      <c r="B6" s="9" t="s">
        <v>73</v>
      </c>
      <c r="C6" s="9" t="s">
        <v>66</v>
      </c>
      <c r="D6" s="9" t="s">
        <v>79</v>
      </c>
      <c r="E6" s="9" t="s">
        <v>72</v>
      </c>
      <c r="F6" s="9" t="s">
        <v>80</v>
      </c>
      <c r="H6" s="12"/>
    </row>
    <row r="7" spans="1:8" x14ac:dyDescent="0.35">
      <c r="A7" s="33" t="s">
        <v>12</v>
      </c>
      <c r="B7" s="6" t="s">
        <v>12</v>
      </c>
      <c r="C7" s="6" t="s">
        <v>12</v>
      </c>
      <c r="D7" s="6" t="s">
        <v>12</v>
      </c>
      <c r="E7" s="6"/>
      <c r="F7" s="6"/>
    </row>
    <row r="8" spans="1:8" x14ac:dyDescent="0.35">
      <c r="A8" s="7" t="s">
        <v>12</v>
      </c>
      <c r="B8" s="7" t="s">
        <v>12</v>
      </c>
      <c r="C8" s="7" t="s">
        <v>12</v>
      </c>
      <c r="D8" s="7" t="s">
        <v>12</v>
      </c>
      <c r="E8" s="7"/>
      <c r="F8" s="7"/>
    </row>
    <row r="9" spans="1:8" x14ac:dyDescent="0.35">
      <c r="A9" s="6" t="s">
        <v>12</v>
      </c>
      <c r="B9" s="6" t="s">
        <v>12</v>
      </c>
      <c r="C9" s="6" t="s">
        <v>12</v>
      </c>
      <c r="D9" s="6" t="s">
        <v>12</v>
      </c>
      <c r="E9" s="6"/>
      <c r="F9" s="6"/>
    </row>
    <row r="10" spans="1:8" x14ac:dyDescent="0.35">
      <c r="A10" s="7" t="s">
        <v>12</v>
      </c>
      <c r="B10" s="7" t="s">
        <v>12</v>
      </c>
      <c r="C10" s="7" t="s">
        <v>12</v>
      </c>
      <c r="D10" s="7" t="s">
        <v>12</v>
      </c>
      <c r="E10" s="7"/>
      <c r="F10" s="7"/>
    </row>
    <row r="11" spans="1:8" x14ac:dyDescent="0.35">
      <c r="A11" s="6" t="s">
        <v>12</v>
      </c>
      <c r="B11" s="6" t="s">
        <v>12</v>
      </c>
      <c r="C11" s="6" t="s">
        <v>12</v>
      </c>
      <c r="D11" s="6" t="s">
        <v>12</v>
      </c>
      <c r="E11" s="6"/>
      <c r="F11" s="6"/>
    </row>
    <row r="12" spans="1:8" x14ac:dyDescent="0.35">
      <c r="A12" s="7" t="s">
        <v>12</v>
      </c>
      <c r="B12" s="7" t="s">
        <v>12</v>
      </c>
      <c r="C12" s="7" t="s">
        <v>12</v>
      </c>
      <c r="D12" s="7" t="s">
        <v>12</v>
      </c>
      <c r="E12" s="7"/>
      <c r="F12" s="7"/>
    </row>
    <row r="13" spans="1:8" x14ac:dyDescent="0.35">
      <c r="A13" s="6" t="s">
        <v>12</v>
      </c>
      <c r="B13" s="6" t="s">
        <v>12</v>
      </c>
      <c r="C13" s="6" t="s">
        <v>12</v>
      </c>
      <c r="D13" s="6" t="s">
        <v>12</v>
      </c>
      <c r="E13" s="6"/>
      <c r="F13" s="6"/>
    </row>
    <row r="14" spans="1:8" x14ac:dyDescent="0.35">
      <c r="A14" s="7" t="s">
        <v>12</v>
      </c>
      <c r="B14" s="7" t="s">
        <v>12</v>
      </c>
      <c r="C14" s="7" t="s">
        <v>12</v>
      </c>
      <c r="D14" s="7" t="s">
        <v>12</v>
      </c>
      <c r="E14" s="7"/>
      <c r="F14" s="7"/>
    </row>
    <row r="15" spans="1:8" x14ac:dyDescent="0.35">
      <c r="A15" s="6" t="s">
        <v>12</v>
      </c>
      <c r="B15" s="6" t="s">
        <v>12</v>
      </c>
      <c r="C15" s="6" t="s">
        <v>12</v>
      </c>
      <c r="D15" s="6" t="s">
        <v>12</v>
      </c>
      <c r="E15" s="6"/>
      <c r="F15" s="6"/>
    </row>
    <row r="16" spans="1:8" x14ac:dyDescent="0.35">
      <c r="A16" s="7" t="s">
        <v>12</v>
      </c>
      <c r="B16" s="7" t="s">
        <v>12</v>
      </c>
      <c r="C16" s="7" t="s">
        <v>12</v>
      </c>
      <c r="D16" s="7" t="s">
        <v>12</v>
      </c>
      <c r="E16" s="7"/>
      <c r="F16" s="7"/>
    </row>
  </sheetData>
  <conditionalFormatting sqref="F7:F16">
    <cfRule type="expression" dxfId="5" priority="1">
      <formula>AND(D7="Custom", F7=none, AND(A7&lt;&gt;select_label, A7&lt;&gt;none))</formula>
    </cfRule>
    <cfRule type="expression" dxfId="4" priority="6">
      <formula>D7&lt;&gt;"Custom"</formula>
    </cfRule>
  </conditionalFormatting>
  <conditionalFormatting sqref="B7:B16">
    <cfRule type="expression" dxfId="3" priority="5">
      <formula>AND(OR(B7=select_label, B7=none), AND(A7&lt;&gt;select_label, A7&lt;&gt;none))</formula>
    </cfRule>
  </conditionalFormatting>
  <conditionalFormatting sqref="C7:C16">
    <cfRule type="expression" dxfId="2" priority="4">
      <formula>AND(OR(C7=select_label, C7=none), AND(A7&lt;&gt;select_label, A7&lt;&gt;none))</formula>
    </cfRule>
  </conditionalFormatting>
  <conditionalFormatting sqref="D7:D16">
    <cfRule type="expression" dxfId="1" priority="3">
      <formula>AND(OR(D7=select_label, D7=none), AND(A7&lt;&gt;select_label, A7&lt;&gt;none))</formula>
    </cfRule>
  </conditionalFormatting>
  <conditionalFormatting sqref="E7:E16">
    <cfRule type="expression" dxfId="0" priority="2">
      <formula>AND(OR(E7=select_label, E7=none), AND(A7&lt;&gt;select_label, A7&lt;&gt;none))</formula>
    </cfRule>
  </conditionalFormatting>
  <dataValidations count="4">
    <dataValidation type="list" allowBlank="1" showInputMessage="1" showErrorMessage="1" sqref="C7:C16" xr:uid="{00000000-0002-0000-0400-000000000000}">
      <formula1>provinciality</formula1>
    </dataValidation>
    <dataValidation type="list" allowBlank="1" showInputMessage="1" showErrorMessage="1" sqref="A7:A16" xr:uid="{00000000-0002-0000-0400-000001000000}">
      <formula1>allowed_data_channels</formula1>
    </dataValidation>
    <dataValidation type="list" allowBlank="1" showInputMessage="1" showErrorMessage="1" sqref="D7:D16" xr:uid="{00000000-0002-0000-0400-000002000000}">
      <formula1>age_bin_selection</formula1>
    </dataValidation>
    <dataValidation type="list" allowBlank="1" showInputMessage="1" showErrorMessage="1" sqref="B7:B16" xr:uid="{00000000-0002-0000-0400-000003000000}">
      <formula1>allowed_distributions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K26"/>
  <sheetViews>
    <sheetView workbookViewId="0"/>
  </sheetViews>
  <sheetFormatPr defaultRowHeight="14.5" x14ac:dyDescent="0.35"/>
  <cols>
    <col min="1" max="1" width="15.54296875" bestFit="1" customWidth="1"/>
    <col min="2" max="2" width="18.1796875" bestFit="1" customWidth="1"/>
    <col min="3" max="3" width="8.08984375" bestFit="1" customWidth="1"/>
    <col min="4" max="4" width="14.54296875" bestFit="1" customWidth="1"/>
    <col min="5" max="5" width="5.08984375" bestFit="1" customWidth="1"/>
    <col min="6" max="6" width="19" bestFit="1" customWidth="1"/>
    <col min="7" max="7" width="13.08984375" bestFit="1" customWidth="1"/>
    <col min="8" max="8" width="20.6328125" bestFit="1" customWidth="1"/>
    <col min="10" max="10" width="11.26953125" customWidth="1"/>
    <col min="11" max="11" width="18.08984375" bestFit="1" customWidth="1"/>
  </cols>
  <sheetData>
    <row r="1" spans="1:11" s="3" customFormat="1" x14ac:dyDescent="0.35">
      <c r="A1" s="3" t="s">
        <v>11</v>
      </c>
      <c r="B1" s="30" t="s">
        <v>13</v>
      </c>
      <c r="C1" s="3" t="s">
        <v>17</v>
      </c>
      <c r="D1" s="3" t="s">
        <v>42</v>
      </c>
      <c r="E1" s="3" t="s">
        <v>54</v>
      </c>
      <c r="F1" s="3" t="s">
        <v>81</v>
      </c>
      <c r="G1" s="3" t="s">
        <v>67</v>
      </c>
      <c r="H1" s="3" t="s">
        <v>74</v>
      </c>
      <c r="I1" s="3" t="s">
        <v>76</v>
      </c>
      <c r="J1" s="3" t="s">
        <v>84</v>
      </c>
      <c r="K1" s="3" t="s">
        <v>97</v>
      </c>
    </row>
    <row r="2" spans="1:11" x14ac:dyDescent="0.35">
      <c r="A2" s="31" t="s">
        <v>12</v>
      </c>
      <c r="B2" s="31" t="s">
        <v>12</v>
      </c>
      <c r="C2" s="31" t="s">
        <v>12</v>
      </c>
      <c r="D2" s="31" t="s">
        <v>12</v>
      </c>
      <c r="E2" s="31" t="s">
        <v>56</v>
      </c>
      <c r="F2" s="31" t="s">
        <v>12</v>
      </c>
      <c r="G2" s="31" t="s">
        <v>12</v>
      </c>
      <c r="H2" s="31" t="s">
        <v>12</v>
      </c>
      <c r="I2" s="31" t="s">
        <v>12</v>
      </c>
      <c r="J2" s="31" t="s">
        <v>12</v>
      </c>
      <c r="K2" s="31" t="s">
        <v>12</v>
      </c>
    </row>
    <row r="3" spans="1:11" x14ac:dyDescent="0.35">
      <c r="A3" s="32" t="b">
        <v>1</v>
      </c>
      <c r="B3" s="32" t="s">
        <v>14</v>
      </c>
      <c r="C3" s="32" t="s">
        <v>18</v>
      </c>
      <c r="D3" s="32" t="s">
        <v>43</v>
      </c>
      <c r="F3" s="32" t="s">
        <v>70</v>
      </c>
      <c r="G3" s="32" t="s">
        <v>68</v>
      </c>
      <c r="H3" s="32" t="str">
        <f t="array" ref="H3:H14">TRANSPOSE(IF('Observations metadata'!obs_data_channels="","",'Observations metadata'!obs_data_channels))</f>
        <v/>
      </c>
      <c r="I3" s="32" t="s">
        <v>77</v>
      </c>
      <c r="K3" s="32" t="s">
        <v>95</v>
      </c>
    </row>
    <row r="4" spans="1:11" x14ac:dyDescent="0.35">
      <c r="A4" s="32" t="b">
        <v>0</v>
      </c>
      <c r="B4" s="32" t="s">
        <v>15</v>
      </c>
      <c r="C4" s="32" t="s">
        <v>19</v>
      </c>
      <c r="D4" s="32" t="s">
        <v>44</v>
      </c>
      <c r="F4" s="32" t="s">
        <v>71</v>
      </c>
      <c r="G4" s="32" t="s">
        <v>69</v>
      </c>
      <c r="H4" s="32" t="str">
        <v/>
      </c>
      <c r="I4" s="32" t="s">
        <v>78</v>
      </c>
      <c r="K4" s="32" t="s">
        <v>96</v>
      </c>
    </row>
    <row r="5" spans="1:11" x14ac:dyDescent="0.35">
      <c r="B5" s="32" t="s">
        <v>16</v>
      </c>
      <c r="C5" s="32" t="s">
        <v>20</v>
      </c>
      <c r="D5" s="32" t="s">
        <v>45</v>
      </c>
      <c r="H5" s="32" t="str">
        <v/>
      </c>
    </row>
    <row r="6" spans="1:11" x14ac:dyDescent="0.35">
      <c r="H6" s="32" t="str">
        <v/>
      </c>
    </row>
    <row r="7" spans="1:11" x14ac:dyDescent="0.35">
      <c r="H7" s="32" t="str">
        <v/>
      </c>
    </row>
    <row r="8" spans="1:11" x14ac:dyDescent="0.35">
      <c r="H8" s="32" t="str">
        <v/>
      </c>
    </row>
    <row r="9" spans="1:11" x14ac:dyDescent="0.35">
      <c r="H9" s="32" t="str">
        <v/>
      </c>
    </row>
    <row r="10" spans="1:11" x14ac:dyDescent="0.35">
      <c r="H10" s="32" t="str">
        <v/>
      </c>
    </row>
    <row r="11" spans="1:11" x14ac:dyDescent="0.35">
      <c r="H11" s="32" t="str">
        <v/>
      </c>
    </row>
    <row r="12" spans="1:11" x14ac:dyDescent="0.35">
      <c r="H12" s="32" t="str">
        <v/>
      </c>
    </row>
    <row r="13" spans="1:11" x14ac:dyDescent="0.35">
      <c r="H13" s="32" t="str">
        <v/>
      </c>
    </row>
    <row r="14" spans="1:11" x14ac:dyDescent="0.35">
      <c r="H14" s="32" t="str">
        <v/>
      </c>
    </row>
    <row r="26" spans="2:2" x14ac:dyDescent="0.35">
      <c r="B26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38</vt:i4>
      </vt:variant>
    </vt:vector>
  </HeadingPairs>
  <TitlesOfParts>
    <vt:vector size="45" baseType="lpstr">
      <vt:lpstr>General</vt:lpstr>
      <vt:lpstr>Site</vt:lpstr>
      <vt:lpstr>Model Parameters</vt:lpstr>
      <vt:lpstr>OptimTool parameters</vt:lpstr>
      <vt:lpstr>Observations metadata</vt:lpstr>
      <vt:lpstr>Analyzers</vt:lpstr>
      <vt:lpstr>Options</vt:lpstr>
      <vt:lpstr>age_bin_selection</vt:lpstr>
      <vt:lpstr>Analyzers!age_bins</vt:lpstr>
      <vt:lpstr>allowed_data_channels</vt:lpstr>
      <vt:lpstr>allowed_distributions</vt:lpstr>
      <vt:lpstr>boolean_selection</vt:lpstr>
      <vt:lpstr>calibration_methods</vt:lpstr>
      <vt:lpstr>'Observations metadata'!channel_pop_scaling</vt:lpstr>
      <vt:lpstr>Analyzers!channels</vt:lpstr>
      <vt:lpstr>Analyzers!custom_age_bins</vt:lpstr>
      <vt:lpstr>diseases</vt:lpstr>
      <vt:lpstr>Analyzers!distributions</vt:lpstr>
      <vt:lpstr>'Model Parameters'!dynamic</vt:lpstr>
      <vt:lpstr>General!form_version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pop_scaling_options</vt:lpstr>
      <vt:lpstr>Analyzers!provincialities</vt:lpstr>
      <vt:lpstr>provinciality</vt:lpstr>
      <vt:lpstr>select_label</vt:lpstr>
      <vt:lpstr>Site!site_age_bin</vt:lpstr>
      <vt:lpstr>Site!site_name</vt:lpstr>
      <vt:lpstr>Site!site_node_names</vt:lpstr>
      <vt:lpstr>Site!site_node_numbers</vt:lpstr>
      <vt:lpstr>Site!site_population</vt:lpstr>
      <vt:lpstr>Site!site_year</vt:lpstr>
      <vt:lpstr>General!use_existing_obs</vt:lpstr>
      <vt:lpstr>Analyzers!weights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Clark Kirkman</cp:lastModifiedBy>
  <dcterms:created xsi:type="dcterms:W3CDTF">2018-02-08T20:55:40Z</dcterms:created>
  <dcterms:modified xsi:type="dcterms:W3CDTF">2018-11-13T22:34:12Z</dcterms:modified>
</cp:coreProperties>
</file>